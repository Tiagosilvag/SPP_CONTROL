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CAPA" sheetId="1" state="visible" r:id="rId1"/>
    <sheet name="Secretarias" sheetId="2" state="visible" r:id="rId2"/>
    <sheet name="Unidades" sheetId="3" state="visible" r:id="rId3"/>
    <sheet name="Obras" sheetId="4" state="visible" r:id="rId4"/>
    <sheet name="Materiais" sheetId="5" state="visible" r:id="rId5"/>
    <sheet name="Fornecedores" sheetId="6" state="visible" r:id="rId6"/>
    <sheet name="Patrimônio" sheetId="7" state="visible" r:id="rId7"/>
    <sheet name="Entradas_Estoque" sheetId="8" state="visible" r:id="rId8"/>
    <sheet name="Movimentacoes_Consumiveis" sheetId="9" state="visible" r:id="rId9"/>
    <sheet name="Movimentacoes_Patrimônio" sheetId="10" state="visible" r:id="rId10"/>
    <sheet name="Estoque_Consumive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22"/>
    </font>
    <font>
      <name val="Calibri"/>
      <color rgb="004A90D9"/>
      <sz val="11"/>
    </font>
    <font>
      <name val="Calibri"/>
      <color rgb="00A8C4E0"/>
      <sz val="11"/>
    </font>
    <font>
      <name val="Calibri"/>
      <b val="1"/>
      <color rgb="001B3A6B"/>
      <sz val="13"/>
    </font>
    <font>
      <name val="Calibri"/>
      <b val="1"/>
      <color rgb="00FFFFFF"/>
      <sz val="10"/>
    </font>
    <font>
      <name val="Calibri"/>
      <b val="1"/>
      <color rgb="001B3A6B"/>
      <sz val="11"/>
    </font>
    <font>
      <name val="Calibri"/>
      <color rgb="00595959"/>
      <sz val="10"/>
    </font>
    <font>
      <name val="Calibri"/>
      <color rgb="005D4037"/>
      <sz val="10"/>
    </font>
    <font>
      <name val="Calibri"/>
      <b val="1"/>
      <color rgb="00FFFFFF"/>
      <sz val="11"/>
    </font>
    <font>
      <name val="Calibri"/>
      <b val="1"/>
      <color rgb="001B3A6B"/>
      <sz val="10"/>
    </font>
    <font>
      <name val="Calibri"/>
      <b val="1"/>
      <color rgb="001E8449"/>
      <sz val="10"/>
    </font>
    <font>
      <name val="Calibri"/>
      <b val="1"/>
      <color rgb="007D4E00"/>
      <sz val="10"/>
    </font>
    <font>
      <name val="Calibri"/>
      <color rgb="005B2333"/>
      <sz val="10"/>
    </font>
    <font>
      <name val="Calibri"/>
      <b val="1"/>
      <color rgb="007D6608"/>
      <sz val="10"/>
    </font>
    <font>
      <name val="Calibri"/>
      <b val="1"/>
      <color rgb="00C0392B"/>
      <sz val="10"/>
    </font>
    <font>
      <name val="Calibri"/>
      <b val="1"/>
      <color rgb="00595959"/>
      <sz val="10"/>
    </font>
    <font>
      <name val="Calibri"/>
      <b val="1"/>
      <color rgb="004A148C"/>
      <sz val="10"/>
    </font>
    <font>
      <name val="Calibri"/>
      <color rgb="007B3F00"/>
      <sz val="10"/>
    </font>
    <font>
      <name val="Calibri"/>
      <b val="1"/>
      <color rgb="007D6608"/>
      <sz val="11"/>
    </font>
  </fonts>
  <fills count="23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B3A6B"/>
        <bgColor rgb="001B3A6B"/>
      </patternFill>
    </fill>
    <fill>
      <patternFill patternType="solid">
        <fgColor rgb="00EBF2FA"/>
        <bgColor rgb="00EBF2FA"/>
      </patternFill>
    </fill>
    <fill>
      <patternFill patternType="solid">
        <fgColor rgb="002E6DA4"/>
        <bgColor rgb="002E6DA4"/>
      </patternFill>
    </fill>
    <fill>
      <patternFill patternType="solid">
        <fgColor rgb="00FFF8E1"/>
        <bgColor rgb="00FFF8E1"/>
      </patternFill>
    </fill>
    <fill>
      <patternFill patternType="solid">
        <fgColor rgb="00D5F5E3"/>
        <bgColor rgb="00D5F5E3"/>
      </patternFill>
    </fill>
    <fill>
      <patternFill patternType="solid">
        <fgColor rgb="00FFF3CD"/>
        <bgColor rgb="00FFF3CD"/>
      </patternFill>
    </fill>
    <fill>
      <patternFill patternType="solid">
        <fgColor rgb="008B4513"/>
        <bgColor rgb="008B4513"/>
      </patternFill>
    </fill>
    <fill>
      <patternFill patternType="solid">
        <fgColor rgb="005B2333"/>
        <bgColor rgb="005B2333"/>
      </patternFill>
    </fill>
    <fill>
      <patternFill patternType="solid">
        <fgColor rgb="00FFF8DC"/>
        <bgColor rgb="00FFF8DC"/>
      </patternFill>
    </fill>
    <fill>
      <patternFill patternType="solid">
        <fgColor rgb="00FEF9E7"/>
        <bgColor rgb="00FEF9E7"/>
      </patternFill>
    </fill>
    <fill>
      <patternFill patternType="solid">
        <fgColor rgb="00FADBD8"/>
        <bgColor rgb="00FADBD8"/>
      </patternFill>
    </fill>
    <fill>
      <patternFill patternType="solid">
        <fgColor rgb="0044546A"/>
        <bgColor rgb="0044546A"/>
      </patternFill>
    </fill>
    <fill>
      <patternFill patternType="solid">
        <fgColor rgb="00C00000"/>
        <bgColor rgb="00C00000"/>
      </patternFill>
    </fill>
    <fill>
      <patternFill patternType="solid">
        <fgColor rgb="008B0000"/>
        <bgColor rgb="008B0000"/>
      </patternFill>
    </fill>
    <fill>
      <patternFill patternType="solid">
        <fgColor rgb="00EDE7F6"/>
        <bgColor rgb="00EDE7F6"/>
      </patternFill>
    </fill>
    <fill>
      <patternFill patternType="solid">
        <fgColor rgb="00ED7D31"/>
        <bgColor rgb="00ED7D31"/>
      </patternFill>
    </fill>
    <fill>
      <patternFill patternType="solid">
        <fgColor rgb="007B3F00"/>
        <bgColor rgb="007B3F00"/>
      </patternFill>
    </fill>
    <fill>
      <patternFill patternType="solid">
        <fgColor rgb="001E6E3C"/>
        <bgColor rgb="001E6E3C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10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 style="medium">
        <color rgb="00D4AC0D"/>
      </left>
      <right style="thin">
        <color rgb="00E0E0E0"/>
      </right>
      <top style="medium">
        <color rgb="00D4AC0D"/>
      </top>
      <bottom style="thin">
        <color rgb="00E0E0E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4A90D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4AC0D"/>
      </left>
      <right style="medium">
        <color rgb="00D4AC0D"/>
      </right>
      <top style="medium">
        <color rgb="00D4AC0D"/>
      </top>
      <bottom style="medium">
        <color rgb="00D4AC0D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6" borderId="6" applyAlignment="1" pivotButton="0" quotePrefix="0" xfId="0">
      <alignment horizontal="left" vertical="top" wrapText="1"/>
    </xf>
    <xf numFmtId="0" fontId="10" fillId="3" borderId="7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/>
    </xf>
    <xf numFmtId="0" fontId="8" fillId="4" borderId="8" applyAlignment="1" pivotButton="0" quotePrefix="0" xfId="0">
      <alignment horizontal="left" vertical="center"/>
    </xf>
    <xf numFmtId="0" fontId="8" fillId="2" borderId="8" applyAlignment="1" pivotButton="0" quotePrefix="0" xfId="0">
      <alignment horizontal="left" vertical="center"/>
    </xf>
    <xf numFmtId="0" fontId="8" fillId="4" borderId="8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165" fontId="8" fillId="4" borderId="8" applyAlignment="1" pivotButton="0" quotePrefix="0" xfId="0">
      <alignment horizontal="left" vertical="center"/>
    </xf>
    <xf numFmtId="0" fontId="11" fillId="4" borderId="8" applyAlignment="1" pivotButton="0" quotePrefix="0" xfId="0">
      <alignment horizontal="center" vertical="center"/>
    </xf>
    <xf numFmtId="165" fontId="8" fillId="2" borderId="8" applyAlignment="1" pivotButton="0" quotePrefix="0" xfId="0">
      <alignment horizontal="left" vertical="center"/>
    </xf>
    <xf numFmtId="0" fontId="12" fillId="7" borderId="8" applyAlignment="1" pivotButton="0" quotePrefix="0" xfId="0">
      <alignment horizontal="center" vertical="center"/>
    </xf>
    <xf numFmtId="0" fontId="8" fillId="8" borderId="8" applyAlignment="1" pivotButton="0" quotePrefix="0" xfId="0">
      <alignment horizontal="left" vertical="center"/>
    </xf>
    <xf numFmtId="0" fontId="13" fillId="8" borderId="8" applyAlignment="1" pivotButton="0" quotePrefix="0" xfId="0">
      <alignment horizontal="center" vertical="center"/>
    </xf>
    <xf numFmtId="0" fontId="10" fillId="10" borderId="7" applyAlignment="1" pivotButton="0" quotePrefix="0" xfId="0">
      <alignment horizontal="center" vertical="center" wrapText="1"/>
    </xf>
    <xf numFmtId="0" fontId="14" fillId="11" borderId="8" applyAlignment="1" pivotButton="0" quotePrefix="0" xfId="0">
      <alignment horizontal="left" vertical="center"/>
    </xf>
    <xf numFmtId="0" fontId="15" fillId="12" borderId="8" applyAlignment="1" pivotButton="0" quotePrefix="0" xfId="0">
      <alignment horizontal="center" vertical="center"/>
    </xf>
    <xf numFmtId="0" fontId="16" fillId="13" borderId="8" applyAlignment="1" pivotButton="0" quotePrefix="0" xfId="0">
      <alignment horizontal="center" vertical="center"/>
    </xf>
    <xf numFmtId="0" fontId="10" fillId="14" borderId="7" applyAlignment="1" pivotButton="0" quotePrefix="0" xfId="0">
      <alignment horizontal="center" vertical="center" wrapText="1"/>
    </xf>
    <xf numFmtId="0" fontId="11" fillId="2" borderId="8" applyAlignment="1" pivotButton="0" quotePrefix="0" xfId="0">
      <alignment horizontal="center" vertical="center"/>
    </xf>
    <xf numFmtId="0" fontId="10" fillId="15" borderId="7" applyAlignment="1" pivotButton="0" quotePrefix="0" xfId="0">
      <alignment horizontal="center" vertical="center" wrapText="1"/>
    </xf>
    <xf numFmtId="0" fontId="10" fillId="16" borderId="7" applyAlignment="1" pivotButton="0" quotePrefix="0" xfId="0">
      <alignment horizontal="center" vertical="center" wrapText="1"/>
    </xf>
    <xf numFmtId="0" fontId="6" fillId="15" borderId="8" applyAlignment="1" pivotButton="0" quotePrefix="0" xfId="0">
      <alignment horizontal="center" vertical="center"/>
    </xf>
    <xf numFmtId="0" fontId="17" fillId="2" borderId="8" applyAlignment="1" pivotButton="0" quotePrefix="0" xfId="0">
      <alignment horizontal="center" vertical="center"/>
    </xf>
    <xf numFmtId="165" fontId="8" fillId="12" borderId="8" applyAlignment="1" pivotButton="0" quotePrefix="0" xfId="0">
      <alignment horizontal="left" vertical="center"/>
    </xf>
    <xf numFmtId="0" fontId="8" fillId="12" borderId="8" applyAlignment="1" pivotButton="0" quotePrefix="0" xfId="0">
      <alignment horizontal="left" vertical="center"/>
    </xf>
    <xf numFmtId="165" fontId="8" fillId="7" borderId="8" applyAlignment="1" pivotButton="0" quotePrefix="0" xfId="0">
      <alignment horizontal="left" vertical="center"/>
    </xf>
    <xf numFmtId="0" fontId="8" fillId="7" borderId="8" applyAlignment="1" pivotButton="0" quotePrefix="0" xfId="0">
      <alignment horizontal="left" vertical="center"/>
    </xf>
    <xf numFmtId="165" fontId="8" fillId="17" borderId="8" applyAlignment="1" pivotButton="0" quotePrefix="0" xfId="0">
      <alignment horizontal="left" vertical="center"/>
    </xf>
    <xf numFmtId="0" fontId="18" fillId="17" borderId="8" applyAlignment="1" pivotButton="0" quotePrefix="0" xfId="0">
      <alignment horizontal="center" vertical="center"/>
    </xf>
    <xf numFmtId="0" fontId="8" fillId="17" borderId="8" applyAlignment="1" pivotButton="0" quotePrefix="0" xfId="0">
      <alignment horizontal="left" vertical="center"/>
    </xf>
    <xf numFmtId="0" fontId="10" fillId="18" borderId="7" applyAlignment="1" pivotButton="0" quotePrefix="0" xfId="0">
      <alignment horizontal="center" vertical="center" wrapText="1"/>
    </xf>
    <xf numFmtId="0" fontId="10" fillId="19" borderId="7" applyAlignment="1" pivotButton="0" quotePrefix="0" xfId="0">
      <alignment horizontal="center" vertical="center" wrapText="1"/>
    </xf>
    <xf numFmtId="0" fontId="6" fillId="18" borderId="8" applyAlignment="1" pivotButton="0" quotePrefix="0" xfId="0">
      <alignment horizontal="center" vertical="center"/>
    </xf>
    <xf numFmtId="0" fontId="19" fillId="11" borderId="8" applyAlignment="1" pivotButton="0" quotePrefix="0" xfId="0">
      <alignment horizontal="left" vertical="center"/>
    </xf>
    <xf numFmtId="165" fontId="8" fillId="13" borderId="8" applyAlignment="1" pivotButton="0" quotePrefix="0" xfId="0">
      <alignment horizontal="left" vertical="center"/>
    </xf>
    <xf numFmtId="0" fontId="8" fillId="13" borderId="8" applyAlignment="1" pivotButton="0" quotePrefix="0" xfId="0">
      <alignment horizontal="left" vertical="center"/>
    </xf>
    <xf numFmtId="0" fontId="20" fillId="8" borderId="9" applyAlignment="1" pivotButton="0" quotePrefix="0" xfId="0">
      <alignment horizontal="center" vertical="center"/>
    </xf>
    <xf numFmtId="0" fontId="10" fillId="20" borderId="7" applyAlignment="1" pivotButton="0" quotePrefix="0" xfId="0">
      <alignment horizontal="center" vertical="center" wrapText="1"/>
    </xf>
    <xf numFmtId="0" fontId="11" fillId="21" borderId="8" applyAlignment="1" pivotButton="0" quotePrefix="0" xfId="0">
      <alignment horizontal="center" vertical="center"/>
    </xf>
    <xf numFmtId="0" fontId="16" fillId="22" borderId="8" applyAlignment="1" pivotButton="0" quotePrefix="0" xfId="0">
      <alignment horizontal="center" vertical="center"/>
    </xf>
    <xf numFmtId="0" fontId="15" fillId="6" borderId="8" applyAlignment="1" pivotButton="0" quotePrefix="0" xfId="0">
      <alignment horizontal="center" vertical="center"/>
    </xf>
    <xf numFmtId="0" fontId="17" fillId="4" borderId="8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C0392B"/>
      </font>
      <fill>
        <patternFill patternType="solid">
          <fgColor rgb="00FADBD8"/>
          <bgColor rgb="00FADBD8"/>
        </patternFill>
      </fill>
    </dxf>
    <dxf>
      <font>
        <b val="1"/>
        <color rgb="007D6608"/>
      </font>
      <fill>
        <patternFill patternType="solid">
          <fgColor rgb="00FEF9E7"/>
          <bgColor rgb="00FEF9E7"/>
        </patternFill>
      </fill>
    </dxf>
    <dxf>
      <font>
        <b val="1"/>
        <color rgb="001E8449"/>
      </font>
      <fill>
        <patternFill patternType="solid">
          <fgColor rgb="00D5F5E3"/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cretarias" displayName="Secretarias" ref="A1:F8" headerRowCount="1">
  <autoFilter ref="A1:F8"/>
  <tableColumns count="6">
    <tableColumn id="1" name="ID_Secretaria"/>
    <tableColumn id="2" name="Nome_Secretaria"/>
    <tableColumn id="3" name="Sigla"/>
    <tableColumn id="4" name="Responsavel"/>
    <tableColumn id="5" name="Contato"/>
    <tableColumn id="6" name="Ativ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Unidades" displayName="Unidades" ref="A1:F18" headerRowCount="1">
  <autoFilter ref="A1:F18"/>
  <tableColumns count="6">
    <tableColumn id="1" name="ID_Unidade"/>
    <tableColumn id="2" name="ID_Secretaria"/>
    <tableColumn id="3" name="Nome_Unidade"/>
    <tableColumn id="4" name="Endereco"/>
    <tableColumn id="5" name="Responsavel_Local"/>
    <tableColumn id="6" name="Ativ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Obras" displayName="Obras" ref="A1:I9" headerRowCount="1">
  <autoFilter ref="A1:I9"/>
  <tableColumns count="9">
    <tableColumn id="1" name="ID_Obra"/>
    <tableColumn id="2" name="Descricao_Obra"/>
    <tableColumn id="3" name="ID_Secretaria_Solicitante"/>
    <tableColumn id="4" name="ID_Unidade_Local"/>
    <tableColumn id="5" name="Data_Inicio"/>
    <tableColumn id="6" name="Previsao_Termino"/>
    <tableColumn id="7" name="Status"/>
    <tableColumn id="8" name="Fiscal_Responsavel"/>
    <tableColumn id="9" name="Observaco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ateriais" displayName="Materiais" ref="A1:G25" headerRowCount="1">
  <autoFilter ref="A1:G25"/>
  <tableColumns count="7">
    <tableColumn id="1" name="ID_Material"/>
    <tableColumn id="2" name="Nome_Material"/>
    <tableColumn id="3" name="Tipo_Material"/>
    <tableColumn id="4" name="Categoria"/>
    <tableColumn id="5" name="Unidade"/>
    <tableColumn id="6" name="Estoque_Minimo"/>
    <tableColumn id="7" name="Ativ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Fornecedores" displayName="Fornecedores" ref="A1:E7" headerRowCount="1">
  <autoFilter ref="A1:E7"/>
  <tableColumns count="5">
    <tableColumn id="1" name="ID_Fornecedor"/>
    <tableColumn id="2" name="Nome_Fornecedor"/>
    <tableColumn id="3" name="CNPJ"/>
    <tableColumn id="4" name="Contato"/>
    <tableColumn id="5" name="A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atrimônio" displayName="Patrimônio" ref="A1:J16" headerRowCount="1">
  <autoFilter ref="A1:J16"/>
  <tableColumns count="10">
    <tableColumn id="1" name="ID_Patrimônio"/>
    <tableColumn id="2" name="Num_Patrimônio"/>
    <tableColumn id="3" name="ID_Material"/>
    <tableColumn id="4" name="Nome_Material (Referência)"/>
    <tableColumn id="5" name="ID_Sec_Proprietaria"/>
    <tableColumn id="6" name="Data_Aquisicao"/>
    <tableColumn id="7" name="Estado_Conservacao"/>
    <tableColumn id="8" name="ID_Unidade_Atual"/>
    <tableColumn id="9" name="Status"/>
    <tableColumn id="10" name="Observacoes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7" name="Entradas_Estoque" displayName="Entradas_Estoque" ref="A1:K16" headerRowCount="1">
  <autoFilter ref="A1:K16"/>
  <tableColumns count="11">
    <tableColumn id="1" name="ID_Entrada"/>
    <tableColumn id="2" name="Data_Entrada"/>
    <tableColumn id="3" name="ID_Material"/>
    <tableColumn id="4" name="Nome_Material (Referência)"/>
    <tableColumn id="5" name="ID_Sec_Proprietaria"/>
    <tableColumn id="6" name="ID_Unidade_Destino"/>
    <tableColumn id="7" name="ID_Fornecedor"/>
    <tableColumn id="8" name="Quantidade"/>
    <tableColumn id="9" name="Nota_Fiscal"/>
    <tableColumn id="10" name="ID_Obra"/>
    <tableColumn id="11" name="Observacoes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Mov_Consumiveis" displayName="Mov_Consumiveis" ref="A1:O13" headerRowCount="1">
  <autoFilter ref="A1:O13"/>
  <tableColumns count="15">
    <tableColumn id="1" name="ID_Movimentacao"/>
    <tableColumn id="2" name="Data_Movimentacao"/>
    <tableColumn id="3" name="Tipo_Movimentacao"/>
    <tableColumn id="4" name="ID_Material"/>
    <tableColumn id="5" name="Nome_Material (Referência)"/>
    <tableColumn id="6" name="Quantidade"/>
    <tableColumn id="7" name="ID_Unidade_Origem"/>
    <tableColumn id="8" name="ID_Unidade_Destino"/>
    <tableColumn id="9" name="ID_Sec_Proprietaria"/>
    <tableColumn id="10" name="ID_Obra"/>
    <tableColumn id="11" name="Data_Prev_Devolucao"/>
    <tableColumn id="12" name="Data_Real_Devolucao"/>
    <tableColumn id="13" name="Status_Devolucao"/>
    <tableColumn id="14" name="Responsavel"/>
    <tableColumn id="15" name="Observacoes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id="9" name="Mov_Patrimônio" displayName="Mov_Patrimônio" ref="A1:N10" headerRowCount="1">
  <autoFilter ref="A1:N10"/>
  <tableColumns count="14">
    <tableColumn id="1" name="ID_Mov_Pat"/>
    <tableColumn id="2" name="Data_Movimentacao"/>
    <tableColumn id="3" name="Tipo_Movimentacao"/>
    <tableColumn id="4" name="ID_Patrimônio"/>
    <tableColumn id="5" name="Nº Patrimônio (Referência)"/>
    <tableColumn id="6" name="ID_Sec_Proprietaria"/>
    <tableColumn id="7" name="ID_Unidade_Origem"/>
    <tableColumn id="8" name="ID_Unidade_Destino"/>
    <tableColumn id="9" name="ID_Obra"/>
    <tableColumn id="10" name="Data_Prev_Devolucao"/>
    <tableColumn id="11" name="Data_Real_Devolucao"/>
    <tableColumn id="12" name="Status_Devolucao"/>
    <tableColumn id="13" name="Responsavel"/>
    <tableColumn id="14" name="Observacoes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id="10" name="Estoque_Consumiveis" displayName="Estoque_Consumiveis" ref="A2:L18" headerRowCount="1">
  <autoFilter ref="A2:L18"/>
  <tableColumns count="12">
    <tableColumn id="1" name="ID_Material"/>
    <tableColumn id="2" name="Nome_Material"/>
    <tableColumn id="3" name="Categoria"/>
    <tableColumn id="4" name="Unidade"/>
    <tableColumn id="5" name="ID_Sec_Proprietaria"/>
    <tableColumn id="6" name="Nome_Secretaria"/>
    <tableColumn id="7" name="Total_Entradas"/>
    <tableColumn id="8" name="Total_Consumido"/>
    <tableColumn id="9" name="Total_Emprestado"/>
    <tableColumn id="10" name="Estoque_Disponivel"/>
    <tableColumn id="11" name="Estoque_Minimo"/>
    <tableColumn id="12" name="Status_Alert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A1:L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20" customWidth="1" min="4" max="4"/>
    <col width="20" customWidth="1" min="5" max="5"/>
    <col width="15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3" customWidth="1" min="12" max="12"/>
  </cols>
  <sheetData>
    <row r="1" ht="20" customHeight="1">
      <c r="A1" s="1" t="inlineStr">
        <is>
          <t>SECRETARIA DE POLÍCIAS PENAIS</t>
        </is>
      </c>
    </row>
    <row r="2" ht="45" customHeight="1">
      <c r="A2" s="2" t="inlineStr">
        <is>
          <t>SISTEMA DE CONTROLE DE MATERIAIS DE OBRAS</t>
        </is>
      </c>
    </row>
    <row r="3" ht="10" customHeight="1"/>
    <row r="4" ht="10" customHeight="1"/>
    <row r="5" ht="15" customHeight="1">
      <c r="A5" s="3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6" ht="20" customHeight="1">
      <c r="A6" s="4" t="inlineStr">
        <is>
          <t>Versão 1.0  •  Gerado em 17/07/2026  •  Uso Interno</t>
        </is>
      </c>
    </row>
    <row r="7" ht="10" customHeight="1"/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 ht="28" customHeight="1">
      <c r="A10" s="5" t="n"/>
      <c r="B10" s="6" t="inlineStr">
        <is>
          <t>📋  ÍNDICE DE ABAS</t>
        </is>
      </c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 ht="24" customHeight="1">
      <c r="A12" s="5" t="n"/>
      <c r="B12" s="7" t="inlineStr">
        <is>
          <t>1</t>
        </is>
      </c>
      <c r="C12" s="8" t="inlineStr">
        <is>
          <t xml:space="preserve">  📋  Secretarias</t>
        </is>
      </c>
      <c r="D12" s="9" t="inlineStr">
        <is>
          <t>Cadastro das secretarias municipais atendidas (incluindo SPP)</t>
        </is>
      </c>
      <c r="E12" s="10" t="n"/>
      <c r="F12" s="10" t="n"/>
      <c r="G12" s="10" t="n"/>
      <c r="H12" s="10" t="n"/>
      <c r="I12" s="10" t="n"/>
      <c r="J12" s="10" t="n"/>
      <c r="K12" s="11" t="n"/>
      <c r="L12" s="5" t="n"/>
    </row>
    <row r="13" ht="24" customHeight="1">
      <c r="A13" s="5" t="n"/>
      <c r="B13" s="7" t="inlineStr">
        <is>
          <t>2</t>
        </is>
      </c>
      <c r="C13" s="12" t="inlineStr">
        <is>
          <t xml:space="preserve">  🏢  Unidades</t>
        </is>
      </c>
      <c r="D13" s="13" t="inlineStr">
        <is>
          <t>Unidades subordinadas de cada secretaria (locais físicos das obras)</t>
        </is>
      </c>
      <c r="E13" s="10" t="n"/>
      <c r="F13" s="10" t="n"/>
      <c r="G13" s="10" t="n"/>
      <c r="H13" s="10" t="n"/>
      <c r="I13" s="10" t="n"/>
      <c r="J13" s="10" t="n"/>
      <c r="K13" s="11" t="n"/>
      <c r="L13" s="5" t="n"/>
    </row>
    <row r="14" ht="24" customHeight="1">
      <c r="A14" s="5" t="n"/>
      <c r="B14" s="7" t="inlineStr">
        <is>
          <t>3</t>
        </is>
      </c>
      <c r="C14" s="8" t="inlineStr">
        <is>
          <t xml:space="preserve">  🏗️  Obras</t>
        </is>
      </c>
      <c r="D14" s="9" t="inlineStr">
        <is>
          <t>Projetos e obras em andamento, concluídas ou paralisadas</t>
        </is>
      </c>
      <c r="E14" s="10" t="n"/>
      <c r="F14" s="10" t="n"/>
      <c r="G14" s="10" t="n"/>
      <c r="H14" s="10" t="n"/>
      <c r="I14" s="10" t="n"/>
      <c r="J14" s="10" t="n"/>
      <c r="K14" s="11" t="n"/>
      <c r="L14" s="5" t="n"/>
    </row>
    <row r="15" ht="24" customHeight="1">
      <c r="A15" s="5" t="n"/>
      <c r="B15" s="7" t="inlineStr">
        <is>
          <t>4</t>
        </is>
      </c>
      <c r="C15" s="12" t="inlineStr">
        <is>
          <t xml:space="preserve">  📦  Materiais</t>
        </is>
      </c>
      <c r="D15" s="13" t="inlineStr">
        <is>
          <t>Catálogo de materiais: consumíveis e itens patrimoniais</t>
        </is>
      </c>
      <c r="E15" s="10" t="n"/>
      <c r="F15" s="10" t="n"/>
      <c r="G15" s="10" t="n"/>
      <c r="H15" s="10" t="n"/>
      <c r="I15" s="10" t="n"/>
      <c r="J15" s="10" t="n"/>
      <c r="K15" s="11" t="n"/>
      <c r="L15" s="5" t="n"/>
    </row>
    <row r="16" ht="24" customHeight="1">
      <c r="A16" s="5" t="n"/>
      <c r="B16" s="7" t="inlineStr">
        <is>
          <t>5</t>
        </is>
      </c>
      <c r="C16" s="8" t="inlineStr">
        <is>
          <t xml:space="preserve">  🏭  Fornecedores</t>
        </is>
      </c>
      <c r="D16" s="9" t="inlineStr">
        <is>
          <t>Empresas e fornecedores de materiais</t>
        </is>
      </c>
      <c r="E16" s="10" t="n"/>
      <c r="F16" s="10" t="n"/>
      <c r="G16" s="10" t="n"/>
      <c r="H16" s="10" t="n"/>
      <c r="I16" s="10" t="n"/>
      <c r="J16" s="10" t="n"/>
      <c r="K16" s="11" t="n"/>
      <c r="L16" s="5" t="n"/>
    </row>
    <row r="17" ht="24" customHeight="1">
      <c r="A17" s="5" t="n"/>
      <c r="B17" s="7" t="inlineStr">
        <is>
          <t>6</t>
        </is>
      </c>
      <c r="C17" s="12" t="inlineStr">
        <is>
          <t xml:space="preserve">  🔑  Patrimônio</t>
        </is>
      </c>
      <c r="D17" s="13" t="inlineStr">
        <is>
          <t>Itens patrimoniais individuais com nº de patrimônio e localização</t>
        </is>
      </c>
      <c r="E17" s="10" t="n"/>
      <c r="F17" s="10" t="n"/>
      <c r="G17" s="10" t="n"/>
      <c r="H17" s="10" t="n"/>
      <c r="I17" s="10" t="n"/>
      <c r="J17" s="10" t="n"/>
      <c r="K17" s="11" t="n"/>
      <c r="L17" s="5" t="n"/>
    </row>
    <row r="18" ht="24" customHeight="1">
      <c r="A18" s="5" t="n"/>
      <c r="B18" s="7" t="inlineStr">
        <is>
          <t>7</t>
        </is>
      </c>
      <c r="C18" s="8" t="inlineStr">
        <is>
          <t xml:space="preserve">  📥  Entradas_Estoque</t>
        </is>
      </c>
      <c r="D18" s="9" t="inlineStr">
        <is>
          <t>Registro de entrada de consumíveis no estoque</t>
        </is>
      </c>
      <c r="E18" s="10" t="n"/>
      <c r="F18" s="10" t="n"/>
      <c r="G18" s="10" t="n"/>
      <c r="H18" s="10" t="n"/>
      <c r="I18" s="10" t="n"/>
      <c r="J18" s="10" t="n"/>
      <c r="K18" s="11" t="n"/>
      <c r="L18" s="5" t="n"/>
    </row>
    <row r="19" ht="24" customHeight="1">
      <c r="A19" s="5" t="n"/>
      <c r="B19" s="7" t="inlineStr">
        <is>
          <t>8</t>
        </is>
      </c>
      <c r="C19" s="12" t="inlineStr">
        <is>
          <t xml:space="preserve">  📤  Movimentacoes_Consumiveis</t>
        </is>
      </c>
      <c r="D19" s="13" t="inlineStr">
        <is>
          <t>Consumo, empréstimos e devoluções de insumos consumíveis</t>
        </is>
      </c>
      <c r="E19" s="10" t="n"/>
      <c r="F19" s="10" t="n"/>
      <c r="G19" s="10" t="n"/>
      <c r="H19" s="10" t="n"/>
      <c r="I19" s="10" t="n"/>
      <c r="J19" s="10" t="n"/>
      <c r="K19" s="11" t="n"/>
      <c r="L19" s="5" t="n"/>
    </row>
    <row r="20" ht="24" customHeight="1">
      <c r="A20" s="5" t="n"/>
      <c r="B20" s="7" t="inlineStr">
        <is>
          <t>9</t>
        </is>
      </c>
      <c r="C20" s="8" t="inlineStr">
        <is>
          <t xml:space="preserve">  🚚  Movimentacoes_Patrimônio</t>
        </is>
      </c>
      <c r="D20" s="9" t="inlineStr">
        <is>
          <t>Empréstimos e devoluções de itens patrimoniais</t>
        </is>
      </c>
      <c r="E20" s="10" t="n"/>
      <c r="F20" s="10" t="n"/>
      <c r="G20" s="10" t="n"/>
      <c r="H20" s="10" t="n"/>
      <c r="I20" s="10" t="n"/>
      <c r="J20" s="10" t="n"/>
      <c r="K20" s="11" t="n"/>
      <c r="L20" s="5" t="n"/>
    </row>
    <row r="21" ht="24" customHeight="1">
      <c r="A21" s="5" t="n"/>
      <c r="B21" s="7" t="inlineStr">
        <is>
          <t>10</t>
        </is>
      </c>
      <c r="C21" s="12" t="inlineStr">
        <is>
          <t xml:space="preserve">  📊  Estoque_Consumiveis</t>
        </is>
      </c>
      <c r="D21" s="13" t="inlineStr">
        <is>
          <t>Saldo automático calculado por material e unidade (NÃO EDITAR)</t>
        </is>
      </c>
      <c r="E21" s="10" t="n"/>
      <c r="F21" s="10" t="n"/>
      <c r="G21" s="10" t="n"/>
      <c r="H21" s="10" t="n"/>
      <c r="I21" s="10" t="n"/>
      <c r="J21" s="10" t="n"/>
      <c r="K21" s="11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 ht="18" customHeight="1">
      <c r="A24" s="5" t="n"/>
      <c r="B24" s="14" t="inlineStr">
        <is>
          <t>⚠️  INSTRUÇÕES DE USO
1. Sempre comece cadastrando: Secretarias → Unidades → Materiais → Fornecedores
2. Para consumíveis: registre as Entradas e depois as Movimentações
3. Para patrimônio: cadastre cada item na aba Patrimônio e registre movimentações em Movimentacoes_Patrimônio
4. A aba 'Estoque_Consumiveis' é calculada automaticamente — NÃO edite manualmente
5. Após atualizar os dados, abra o Power BI e clique em 'Atualizar' para recarregar os dashboards</t>
        </is>
      </c>
      <c r="L24" s="5" t="n"/>
    </row>
    <row r="25" ht="18" customHeight="1">
      <c r="A25" s="5" t="n"/>
      <c r="L25" s="5" t="n"/>
    </row>
    <row r="26" ht="18" customHeight="1">
      <c r="A26" s="5" t="n"/>
      <c r="L26" s="5" t="n"/>
    </row>
    <row r="27" ht="18" customHeight="1">
      <c r="A27" s="5" t="n"/>
      <c r="L27" s="5" t="n"/>
    </row>
    <row r="28" ht="18" customHeight="1">
      <c r="A28" s="5" t="n"/>
      <c r="L28" s="5" t="n"/>
    </row>
    <row r="29" ht="18" customHeight="1">
      <c r="A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</sheetData>
  <mergeCells count="16">
    <mergeCell ref="D17:K17"/>
    <mergeCell ref="D18:K18"/>
    <mergeCell ref="D20:K20"/>
    <mergeCell ref="B24:K29"/>
    <mergeCell ref="D21:K21"/>
    <mergeCell ref="D15:K15"/>
    <mergeCell ref="D16:K16"/>
    <mergeCell ref="D19:K19"/>
    <mergeCell ref="A1:L1"/>
    <mergeCell ref="A6:L7"/>
    <mergeCell ref="A5:L5"/>
    <mergeCell ref="D13:K13"/>
    <mergeCell ref="D14:K14"/>
    <mergeCell ref="A2:L4"/>
    <mergeCell ref="B10:K10"/>
    <mergeCell ref="D12:K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6B"/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30" customWidth="1" min="4" max="4"/>
    <col width="22" customWidth="1" min="5" max="5"/>
    <col width="10" customWidth="1" min="6" max="6"/>
  </cols>
  <sheetData>
    <row r="1" ht="28" customHeight="1">
      <c r="A1" s="15" t="inlineStr">
        <is>
          <t>ID_Secretaria</t>
        </is>
      </c>
      <c r="B1" s="15" t="inlineStr">
        <is>
          <t>Nome_Secretaria</t>
        </is>
      </c>
      <c r="C1" s="15" t="inlineStr">
        <is>
          <t>Sigla</t>
        </is>
      </c>
      <c r="D1" s="15" t="inlineStr">
        <is>
          <t>Responsavel</t>
        </is>
      </c>
      <c r="E1" s="15" t="inlineStr">
        <is>
          <t>Contato</t>
        </is>
      </c>
      <c r="F1" s="15" t="inlineStr">
        <is>
          <t>Ativa</t>
        </is>
      </c>
    </row>
    <row r="2" ht="22" customHeight="1">
      <c r="A2" s="16" t="n">
        <v>1</v>
      </c>
      <c r="B2" s="17" t="inlineStr">
        <is>
          <t>Secretaria de Polícias Penais</t>
        </is>
      </c>
      <c r="C2" s="17" t="inlineStr">
        <is>
          <t>SPP</t>
        </is>
      </c>
      <c r="D2" s="17" t="inlineStr">
        <is>
          <t>João Carlos da Silva</t>
        </is>
      </c>
      <c r="E2" s="17" t="inlineStr">
        <is>
          <t>(67) 3318-7000</t>
        </is>
      </c>
      <c r="F2" s="17" t="inlineStr">
        <is>
          <t>Sim</t>
        </is>
      </c>
    </row>
    <row r="3" ht="22" customHeight="1">
      <c r="A3" s="16" t="n">
        <v>2</v>
      </c>
      <c r="B3" s="18" t="inlineStr">
        <is>
          <t>Secretaria Municipal de Saúde</t>
        </is>
      </c>
      <c r="C3" s="18" t="inlineStr">
        <is>
          <t>SMS</t>
        </is>
      </c>
      <c r="D3" s="18" t="inlineStr">
        <is>
          <t>Maria Fernanda Oliveira</t>
        </is>
      </c>
      <c r="E3" s="18" t="inlineStr">
        <is>
          <t>(67) 3318-3100</t>
        </is>
      </c>
      <c r="F3" s="18" t="inlineStr">
        <is>
          <t>Sim</t>
        </is>
      </c>
    </row>
    <row r="4" ht="22" customHeight="1">
      <c r="A4" s="16" t="n">
        <v>3</v>
      </c>
      <c r="B4" s="17" t="inlineStr">
        <is>
          <t>Secretaria Mun. de Educação</t>
        </is>
      </c>
      <c r="C4" s="17" t="inlineStr">
        <is>
          <t>SEMED</t>
        </is>
      </c>
      <c r="D4" s="17" t="inlineStr">
        <is>
          <t>Carlos Roberto Souza</t>
        </is>
      </c>
      <c r="E4" s="17" t="inlineStr">
        <is>
          <t>(67) 3318-2500</t>
        </is>
      </c>
      <c r="F4" s="17" t="inlineStr">
        <is>
          <t>Sim</t>
        </is>
      </c>
    </row>
    <row r="5" ht="22" customHeight="1">
      <c r="A5" s="16" t="n">
        <v>4</v>
      </c>
      <c r="B5" s="18" t="inlineStr">
        <is>
          <t>Secretaria Mun. de Obras</t>
        </is>
      </c>
      <c r="C5" s="18" t="inlineStr">
        <is>
          <t>SEMOB</t>
        </is>
      </c>
      <c r="D5" s="18" t="inlineStr">
        <is>
          <t>Antônio Pereira Lima</t>
        </is>
      </c>
      <c r="E5" s="18" t="inlineStr">
        <is>
          <t>(67) 3318-4400</t>
        </is>
      </c>
      <c r="F5" s="18" t="inlineStr">
        <is>
          <t>Sim</t>
        </is>
      </c>
    </row>
    <row r="6" ht="22" customHeight="1">
      <c r="A6" s="16" t="n">
        <v>5</v>
      </c>
      <c r="B6" s="17" t="inlineStr">
        <is>
          <t>Secretaria Mun. de Assistência Social</t>
        </is>
      </c>
      <c r="C6" s="17" t="inlineStr">
        <is>
          <t>SEMAS</t>
        </is>
      </c>
      <c r="D6" s="17" t="inlineStr">
        <is>
          <t>Ana Paula Costa</t>
        </is>
      </c>
      <c r="E6" s="17" t="inlineStr">
        <is>
          <t>(67) 3318-5600</t>
        </is>
      </c>
      <c r="F6" s="17" t="inlineStr">
        <is>
          <t>Sim</t>
        </is>
      </c>
    </row>
    <row r="7" ht="22" customHeight="1">
      <c r="A7" s="16" t="n">
        <v>6</v>
      </c>
      <c r="B7" s="18" t="inlineStr">
        <is>
          <t>Secretaria Mun. de Esportes</t>
        </is>
      </c>
      <c r="C7" s="18" t="inlineStr">
        <is>
          <t>SEME</t>
        </is>
      </c>
      <c r="D7" s="18" t="inlineStr">
        <is>
          <t>Ricardo Alves Mendes</t>
        </is>
      </c>
      <c r="E7" s="18" t="inlineStr">
        <is>
          <t>(67) 3318-6200</t>
        </is>
      </c>
      <c r="F7" s="18" t="inlineStr">
        <is>
          <t>Sim</t>
        </is>
      </c>
    </row>
    <row r="8" ht="22" customHeight="1">
      <c r="A8" s="16" t="n">
        <v>7</v>
      </c>
      <c r="B8" s="17" t="inlineStr">
        <is>
          <t>Secretaria Mun. de Meio Ambiente</t>
        </is>
      </c>
      <c r="C8" s="17" t="inlineStr">
        <is>
          <t>SEMAM</t>
        </is>
      </c>
      <c r="D8" s="17" t="inlineStr">
        <is>
          <t>Luciana Torres Ferreira</t>
        </is>
      </c>
      <c r="E8" s="17" t="inlineStr">
        <is>
          <t>(67) 3318-7800</t>
        </is>
      </c>
      <c r="F8" s="17" t="inlineStr">
        <is>
          <t>Sim</t>
        </is>
      </c>
    </row>
  </sheetData>
  <dataValidations count="1">
    <dataValidation sqref="F2 F3 F4 F5 F6 F7 F8" showDropDown="0" showInputMessage="0" showErrorMessage="0" allowBlank="0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E6DA4"/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8" customWidth="1" min="3" max="3"/>
    <col width="45" customWidth="1" min="4" max="4"/>
    <col width="30" customWidth="1" min="5" max="5"/>
    <col width="10" customWidth="1" min="6" max="6"/>
  </cols>
  <sheetData>
    <row r="1" ht="28" customHeight="1">
      <c r="A1" s="15" t="inlineStr">
        <is>
          <t>ID_Unidade</t>
        </is>
      </c>
      <c r="B1" s="15" t="inlineStr">
        <is>
          <t>ID_Secretaria</t>
        </is>
      </c>
      <c r="C1" s="15" t="inlineStr">
        <is>
          <t>Nome_Unidade</t>
        </is>
      </c>
      <c r="D1" s="15" t="inlineStr">
        <is>
          <t>Endereco</t>
        </is>
      </c>
      <c r="E1" s="15" t="inlineStr">
        <is>
          <t>Responsavel_Local</t>
        </is>
      </c>
      <c r="F1" s="15" t="inlineStr">
        <is>
          <t>Ativa</t>
        </is>
      </c>
    </row>
    <row r="2" ht="22" customHeight="1">
      <c r="A2" s="16" t="n">
        <v>1</v>
      </c>
      <c r="B2" s="19" t="n">
        <v>1</v>
      </c>
      <c r="C2" s="17" t="inlineStr">
        <is>
          <t>Sede SPP — Presídio Central</t>
        </is>
      </c>
      <c r="D2" s="17" t="inlineStr">
        <is>
          <t>Rua das Acácias, 500 — Centro</t>
        </is>
      </c>
      <c r="E2" s="17" t="inlineStr">
        <is>
          <t>João Carlos da Silva</t>
        </is>
      </c>
      <c r="F2" s="17" t="inlineStr">
        <is>
          <t>Sim</t>
        </is>
      </c>
    </row>
    <row r="3" ht="22" customHeight="1">
      <c r="A3" s="16" t="n">
        <v>2</v>
      </c>
      <c r="B3" s="20" t="n">
        <v>1</v>
      </c>
      <c r="C3" s="18" t="inlineStr">
        <is>
          <t>Unidade Penal Feminina</t>
        </is>
      </c>
      <c r="D3" s="18" t="inlineStr">
        <is>
          <t>Av. Brasil, 1200 — Jd. América</t>
        </is>
      </c>
      <c r="E3" s="18" t="inlineStr">
        <is>
          <t>Rosana Melo Cardoso</t>
        </is>
      </c>
      <c r="F3" s="18" t="inlineStr">
        <is>
          <t>Sim</t>
        </is>
      </c>
    </row>
    <row r="4" ht="22" customHeight="1">
      <c r="A4" s="16" t="n">
        <v>3</v>
      </c>
      <c r="B4" s="19" t="n">
        <v>1</v>
      </c>
      <c r="C4" s="17" t="inlineStr">
        <is>
          <t>Almoxarifado SPP</t>
        </is>
      </c>
      <c r="D4" s="17" t="inlineStr">
        <is>
          <t>Rua Barão do Rio Branco, 300</t>
        </is>
      </c>
      <c r="E4" s="17" t="inlineStr">
        <is>
          <t>Marcos Ferreira</t>
        </is>
      </c>
      <c r="F4" s="17" t="inlineStr">
        <is>
          <t>Sim</t>
        </is>
      </c>
    </row>
    <row r="5" ht="22" customHeight="1">
      <c r="A5" s="16" t="n">
        <v>4</v>
      </c>
      <c r="B5" s="20" t="n">
        <v>2</v>
      </c>
      <c r="C5" s="18" t="inlineStr">
        <is>
          <t>Hospital Universitário</t>
        </is>
      </c>
      <c r="D5" s="18" t="inlineStr">
        <is>
          <t>Av. Universitária, s/n — Universitário</t>
        </is>
      </c>
      <c r="E5" s="18" t="inlineStr">
        <is>
          <t>Dr. Paulo Ribeiro</t>
        </is>
      </c>
      <c r="F5" s="18" t="inlineStr">
        <is>
          <t>Sim</t>
        </is>
      </c>
    </row>
    <row r="6" ht="22" customHeight="1">
      <c r="A6" s="16" t="n">
        <v>5</v>
      </c>
      <c r="B6" s="19" t="n">
        <v>2</v>
      </c>
      <c r="C6" s="17" t="inlineStr">
        <is>
          <t>UPA Norte</t>
        </is>
      </c>
      <c r="D6" s="17" t="inlineStr">
        <is>
          <t>Rua Sete de Setembro, 88 — Bairro Norte</t>
        </is>
      </c>
      <c r="E6" s="17" t="inlineStr">
        <is>
          <t>Enf. Cláudia Santos</t>
        </is>
      </c>
      <c r="F6" s="17" t="inlineStr">
        <is>
          <t>Sim</t>
        </is>
      </c>
    </row>
    <row r="7" ht="22" customHeight="1">
      <c r="A7" s="16" t="n">
        <v>6</v>
      </c>
      <c r="B7" s="20" t="n">
        <v>2</v>
      </c>
      <c r="C7" s="18" t="inlineStr">
        <is>
          <t>UPA Sul</t>
        </is>
      </c>
      <c r="D7" s="18" t="inlineStr">
        <is>
          <t>Av. Senador Filinto Müller, 1400 — Tiradentes</t>
        </is>
      </c>
      <c r="E7" s="18" t="inlineStr">
        <is>
          <t>Enf. Roberto Lima</t>
        </is>
      </c>
      <c r="F7" s="18" t="inlineStr">
        <is>
          <t>Sim</t>
        </is>
      </c>
    </row>
    <row r="8" ht="22" customHeight="1">
      <c r="A8" s="16" t="n">
        <v>7</v>
      </c>
      <c r="B8" s="19" t="n">
        <v>2</v>
      </c>
      <c r="C8" s="17" t="inlineStr">
        <is>
          <t>Centro de Especialidades Médicas</t>
        </is>
      </c>
      <c r="D8" s="17" t="inlineStr">
        <is>
          <t>Rua das Flores, 250 — Centro</t>
        </is>
      </c>
      <c r="E8" s="17" t="inlineStr">
        <is>
          <t>Dr. Henrique Moura</t>
        </is>
      </c>
      <c r="F8" s="17" t="inlineStr">
        <is>
          <t>Sim</t>
        </is>
      </c>
    </row>
    <row r="9" ht="22" customHeight="1">
      <c r="A9" s="16" t="n">
        <v>8</v>
      </c>
      <c r="B9" s="20" t="n">
        <v>3</v>
      </c>
      <c r="C9" s="18" t="inlineStr">
        <is>
          <t>EMEF Getúlio Vargas</t>
        </is>
      </c>
      <c r="D9" s="18" t="inlineStr">
        <is>
          <t>Rua Getúlio Vargas, 100 — Centro</t>
        </is>
      </c>
      <c r="E9" s="18" t="inlineStr">
        <is>
          <t>Diretora Ana Luiza</t>
        </is>
      </c>
      <c r="F9" s="18" t="inlineStr">
        <is>
          <t>Sim</t>
        </is>
      </c>
    </row>
    <row r="10" ht="22" customHeight="1">
      <c r="A10" s="16" t="n">
        <v>9</v>
      </c>
      <c r="B10" s="19" t="n">
        <v>3</v>
      </c>
      <c r="C10" s="17" t="inlineStr">
        <is>
          <t>EMEF Santos Dumont</t>
        </is>
      </c>
      <c r="D10" s="17" t="inlineStr">
        <is>
          <t>Av. Santos Dumont, 500 — Bairro Industrial</t>
        </is>
      </c>
      <c r="E10" s="17" t="inlineStr">
        <is>
          <t>Diretor Fábio Neves</t>
        </is>
      </c>
      <c r="F10" s="17" t="inlineStr">
        <is>
          <t>Sim</t>
        </is>
      </c>
    </row>
    <row r="11" ht="22" customHeight="1">
      <c r="A11" s="16" t="n">
        <v>10</v>
      </c>
      <c r="B11" s="20" t="n">
        <v>3</v>
      </c>
      <c r="C11" s="18" t="inlineStr">
        <is>
          <t>CEINF Girassol</t>
        </is>
      </c>
      <c r="D11" s="18" t="inlineStr">
        <is>
          <t>Rua das Palmeiras, 80 — Jd. Centenário</t>
        </is>
      </c>
      <c r="E11" s="18" t="inlineStr">
        <is>
          <t>Coord. Marta Vieira</t>
        </is>
      </c>
      <c r="F11" s="18" t="inlineStr">
        <is>
          <t>Sim</t>
        </is>
      </c>
    </row>
    <row r="12" ht="22" customHeight="1">
      <c r="A12" s="16" t="n">
        <v>11</v>
      </c>
      <c r="B12" s="19" t="n">
        <v>4</v>
      </c>
      <c r="C12" s="17" t="inlineStr">
        <is>
          <t>Sede SEMOB</t>
        </is>
      </c>
      <c r="D12" s="17" t="inlineStr">
        <is>
          <t>Av. Afonso Pena, 3300 — Centro</t>
        </is>
      </c>
      <c r="E12" s="17" t="inlineStr">
        <is>
          <t>Eng. Antônio Lima</t>
        </is>
      </c>
      <c r="F12" s="17" t="inlineStr">
        <is>
          <t>Sim</t>
        </is>
      </c>
    </row>
    <row r="13" ht="22" customHeight="1">
      <c r="A13" s="16" t="n">
        <v>12</v>
      </c>
      <c r="B13" s="20" t="n">
        <v>4</v>
      </c>
      <c r="C13" s="18" t="inlineStr">
        <is>
          <t>Almoxarifado SEMOB</t>
        </is>
      </c>
      <c r="D13" s="18" t="inlineStr">
        <is>
          <t>Rua Joaquim Nabuco, 600 — Bairro Industrial</t>
        </is>
      </c>
      <c r="E13" s="18" t="inlineStr">
        <is>
          <t>Tec. Gilberto Alves</t>
        </is>
      </c>
      <c r="F13" s="18" t="inlineStr">
        <is>
          <t>Sim</t>
        </is>
      </c>
    </row>
    <row r="14" ht="22" customHeight="1">
      <c r="A14" s="16" t="n">
        <v>13</v>
      </c>
      <c r="B14" s="19" t="n">
        <v>5</v>
      </c>
      <c r="C14" s="17" t="inlineStr">
        <is>
          <t>CRAS Leste</t>
        </is>
      </c>
      <c r="D14" s="17" t="inlineStr">
        <is>
          <t>Rua 14 de Julho, 2400 — Bairro Leste</t>
        </is>
      </c>
      <c r="E14" s="17" t="inlineStr">
        <is>
          <t>Ass. Social Vera Cruz</t>
        </is>
      </c>
      <c r="F14" s="17" t="inlineStr">
        <is>
          <t>Sim</t>
        </is>
      </c>
    </row>
    <row r="15" ht="22" customHeight="1">
      <c r="A15" s="16" t="n">
        <v>14</v>
      </c>
      <c r="B15" s="20" t="n">
        <v>5</v>
      </c>
      <c r="C15" s="18" t="inlineStr">
        <is>
          <t>CRAS Oeste</t>
        </is>
      </c>
      <c r="D15" s="18" t="inlineStr">
        <is>
          <t>Av. Calógeras, 3500 — Bairro Oeste</t>
        </is>
      </c>
      <c r="E15" s="18" t="inlineStr">
        <is>
          <t>Ass. Social Tânia Freitas</t>
        </is>
      </c>
      <c r="F15" s="18" t="inlineStr">
        <is>
          <t>Sim</t>
        </is>
      </c>
    </row>
    <row r="16" ht="22" customHeight="1">
      <c r="A16" s="16" t="n">
        <v>15</v>
      </c>
      <c r="B16" s="19" t="n">
        <v>6</v>
      </c>
      <c r="C16" s="17" t="inlineStr">
        <is>
          <t>Estádio Municipal</t>
        </is>
      </c>
      <c r="D16" s="17" t="inlineStr">
        <is>
          <t>Av. Mato Grosso, 5000 — Centro</t>
        </is>
      </c>
      <c r="E16" s="17" t="inlineStr">
        <is>
          <t>Ricardo Mendes</t>
        </is>
      </c>
      <c r="F16" s="17" t="inlineStr">
        <is>
          <t>Sim</t>
        </is>
      </c>
    </row>
    <row r="17" ht="22" customHeight="1">
      <c r="A17" s="16" t="n">
        <v>16</v>
      </c>
      <c r="B17" s="20" t="n">
        <v>6</v>
      </c>
      <c r="C17" s="18" t="inlineStr">
        <is>
          <t>Centro Poliesportivo Norte</t>
        </is>
      </c>
      <c r="D17" s="18" t="inlineStr">
        <is>
          <t>Rua Pedro Celestino, 1100 — Norte</t>
        </is>
      </c>
      <c r="E17" s="18" t="inlineStr">
        <is>
          <t>Coord. Sílvio Braga</t>
        </is>
      </c>
      <c r="F17" s="18" t="inlineStr">
        <is>
          <t>Sim</t>
        </is>
      </c>
    </row>
    <row r="18" ht="22" customHeight="1">
      <c r="A18" s="16" t="n">
        <v>17</v>
      </c>
      <c r="B18" s="19" t="n">
        <v>7</v>
      </c>
      <c r="C18" s="17" t="inlineStr">
        <is>
          <t>Sede SEMAM</t>
        </is>
      </c>
      <c r="D18" s="17" t="inlineStr">
        <is>
          <t>Rua 13 de Junho, 2200 — Centro</t>
        </is>
      </c>
      <c r="E18" s="17" t="inlineStr">
        <is>
          <t>Luciana Ferreira</t>
        </is>
      </c>
      <c r="F18" s="17" t="inlineStr">
        <is>
          <t>Sim</t>
        </is>
      </c>
    </row>
  </sheetData>
  <dataValidations count="1">
    <dataValidation sqref="F2 F3 F4 F5 F6 F7 F8 F9 F10 F11 F12 F13 F14 F15 F16 F17 F18" showDropDown="0" showInputMessage="0" showErrorMessage="0" allowBlank="0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4A90D9"/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5" customWidth="1" min="3" max="3"/>
    <col width="20" customWidth="1" min="4" max="4"/>
    <col width="14" customWidth="1" min="5" max="5"/>
    <col width="16" customWidth="1" min="6" max="6"/>
    <col width="18" customWidth="1" min="7" max="7"/>
    <col width="28" customWidth="1" min="8" max="8"/>
    <col width="40" customWidth="1" min="9" max="9"/>
  </cols>
  <sheetData>
    <row r="1" ht="28" customHeight="1">
      <c r="A1" s="15" t="inlineStr">
        <is>
          <t>ID_Obra</t>
        </is>
      </c>
      <c r="B1" s="15" t="inlineStr">
        <is>
          <t>Descricao_Obra</t>
        </is>
      </c>
      <c r="C1" s="15" t="inlineStr">
        <is>
          <t>ID_Secretaria_Solicitante</t>
        </is>
      </c>
      <c r="D1" s="15" t="inlineStr">
        <is>
          <t>ID_Unidade_Local</t>
        </is>
      </c>
      <c r="E1" s="15" t="inlineStr">
        <is>
          <t>Data_Inicio</t>
        </is>
      </c>
      <c r="F1" s="15" t="inlineStr">
        <is>
          <t>Previsao_Termino</t>
        </is>
      </c>
      <c r="G1" s="15" t="inlineStr">
        <is>
          <t>Status</t>
        </is>
      </c>
      <c r="H1" s="15" t="inlineStr">
        <is>
          <t>Fiscal_Responsavel</t>
        </is>
      </c>
      <c r="I1" s="15" t="inlineStr">
        <is>
          <t>Observacoes</t>
        </is>
      </c>
    </row>
    <row r="2" ht="22" customHeight="1">
      <c r="A2" s="16" t="n">
        <v>1</v>
      </c>
      <c r="B2" s="17" t="inlineStr">
        <is>
          <t>Reforma do Telhado</t>
        </is>
      </c>
      <c r="C2" s="17" t="n">
        <v>2</v>
      </c>
      <c r="D2" s="17" t="n">
        <v>4</v>
      </c>
      <c r="E2" s="21" t="n">
        <v>46152</v>
      </c>
      <c r="F2" s="21" t="n">
        <v>46264</v>
      </c>
      <c r="G2" s="22" t="inlineStr">
        <is>
          <t>Em Andamento</t>
        </is>
      </c>
      <c r="H2" s="17" t="inlineStr">
        <is>
          <t>Carlos Mendes</t>
        </is>
      </c>
      <c r="I2" s="17" t="inlineStr">
        <is>
          <t>Infiltrações graves</t>
        </is>
      </c>
    </row>
    <row r="3" ht="22" customHeight="1">
      <c r="A3" s="16" t="n">
        <v>2</v>
      </c>
      <c r="B3" s="18" t="inlineStr">
        <is>
          <t>Pintura Geral das Salas</t>
        </is>
      </c>
      <c r="C3" s="18" t="n">
        <v>3</v>
      </c>
      <c r="D3" s="18" t="n">
        <v>8</v>
      </c>
      <c r="E3" s="23" t="n">
        <v>46174</v>
      </c>
      <c r="F3" s="23" t="n">
        <v>46234</v>
      </c>
      <c r="G3" s="22" t="inlineStr">
        <is>
          <t>Em Andamento</t>
        </is>
      </c>
      <c r="H3" s="18" t="inlineStr">
        <is>
          <t>Sônia Araújo</t>
        </is>
      </c>
      <c r="I3" s="18" t="inlineStr">
        <is>
          <t>Prioridade alta</t>
        </is>
      </c>
    </row>
    <row r="4" ht="22" customHeight="1">
      <c r="A4" s="16" t="n">
        <v>3</v>
      </c>
      <c r="B4" s="17" t="inlineStr">
        <is>
          <t>Reparo do Piso Quadra Poliesportiva</t>
        </is>
      </c>
      <c r="C4" s="17" t="n">
        <v>6</v>
      </c>
      <c r="D4" s="17" t="n">
        <v>15</v>
      </c>
      <c r="E4" s="21" t="n">
        <v>46127</v>
      </c>
      <c r="F4" s="21" t="n">
        <v>46203</v>
      </c>
      <c r="G4" s="24" t="inlineStr">
        <is>
          <t>Concluída</t>
        </is>
      </c>
      <c r="H4" s="17" t="inlineStr">
        <is>
          <t>Adriano Costa</t>
        </is>
      </c>
      <c r="I4" s="17" t="inlineStr">
        <is>
          <t>Entregue em 28/06</t>
        </is>
      </c>
    </row>
    <row r="5" ht="22" customHeight="1">
      <c r="A5" s="16" t="n">
        <v>4</v>
      </c>
      <c r="B5" s="18" t="inlineStr">
        <is>
          <t>Manutenção Elétrica</t>
        </is>
      </c>
      <c r="C5" s="18" t="n">
        <v>2</v>
      </c>
      <c r="D5" s="18" t="n">
        <v>5</v>
      </c>
      <c r="E5" s="23" t="n">
        <v>46204</v>
      </c>
      <c r="F5" s="23" t="n">
        <v>46228</v>
      </c>
      <c r="G5" s="22" t="inlineStr">
        <is>
          <t>Em Andamento</t>
        </is>
      </c>
      <c r="H5" s="18" t="inlineStr">
        <is>
          <t>Eletricista José Lima</t>
        </is>
      </c>
      <c r="I5" s="18" t="inlineStr">
        <is>
          <t>Troca de fiação</t>
        </is>
      </c>
    </row>
    <row r="6" ht="22" customHeight="1">
      <c r="A6" s="16" t="n">
        <v>5</v>
      </c>
      <c r="B6" s="17" t="inlineStr">
        <is>
          <t>Construção de Muro Perimetral</t>
        </is>
      </c>
      <c r="C6" s="17" t="n">
        <v>5</v>
      </c>
      <c r="D6" s="17" t="n">
        <v>13</v>
      </c>
      <c r="E6" s="21" t="n">
        <v>46162</v>
      </c>
      <c r="F6" s="21" t="n">
        <v>46280</v>
      </c>
      <c r="G6" s="22" t="inlineStr">
        <is>
          <t>Em Andamento</t>
        </is>
      </c>
      <c r="H6" s="17" t="inlineStr">
        <is>
          <t>Eng. Paulo Brito</t>
        </is>
      </c>
      <c r="I6" s="17" t="inlineStr">
        <is>
          <t>Nova área do CRAS</t>
        </is>
      </c>
    </row>
    <row r="7" ht="22" customHeight="1">
      <c r="A7" s="16" t="n">
        <v>6</v>
      </c>
      <c r="B7" s="18" t="inlineStr">
        <is>
          <t>Reforma do Banheiro</t>
        </is>
      </c>
      <c r="C7" s="18" t="n">
        <v>3</v>
      </c>
      <c r="D7" s="18" t="n">
        <v>9</v>
      </c>
      <c r="E7" s="23" t="n">
        <v>46082</v>
      </c>
      <c r="F7" s="23" t="n">
        <v>46142</v>
      </c>
      <c r="G7" s="24" t="inlineStr">
        <is>
          <t>Concluída</t>
        </is>
      </c>
      <c r="H7" s="18" t="inlineStr">
        <is>
          <t>Marta Vieira</t>
        </is>
      </c>
      <c r="I7" s="18" t="inlineStr">
        <is>
          <t>Acessibilidade</t>
        </is>
      </c>
    </row>
    <row r="8" ht="22" customHeight="1">
      <c r="A8" s="16" t="n">
        <v>7</v>
      </c>
      <c r="B8" s="17" t="inlineStr">
        <is>
          <t>Drenagem e Calçamento</t>
        </is>
      </c>
      <c r="C8" s="17" t="n">
        <v>4</v>
      </c>
      <c r="D8" s="17" t="n">
        <v>11</v>
      </c>
      <c r="E8" s="21" t="n">
        <v>46208</v>
      </c>
      <c r="F8" s="21" t="n">
        <v>46325</v>
      </c>
      <c r="G8" s="22" t="inlineStr">
        <is>
          <t>Em Andamento</t>
        </is>
      </c>
      <c r="H8" s="17" t="inlineStr">
        <is>
          <t>Tec. Silveira</t>
        </is>
      </c>
      <c r="I8" s="17" t="inlineStr">
        <is>
          <t>Área da entrada</t>
        </is>
      </c>
    </row>
    <row r="9" ht="22" customHeight="1">
      <c r="A9" s="16" t="n">
        <v>8</v>
      </c>
      <c r="B9" s="18" t="inlineStr">
        <is>
          <t>Pintura Externa do Ginásio</t>
        </is>
      </c>
      <c r="C9" s="18" t="n">
        <v>6</v>
      </c>
      <c r="D9" s="18" t="n">
        <v>16</v>
      </c>
      <c r="E9" s="23" t="n">
        <v>46213</v>
      </c>
      <c r="F9" s="23" t="n">
        <v>46249</v>
      </c>
      <c r="G9" s="22" t="inlineStr">
        <is>
          <t>Em Andamento</t>
        </is>
      </c>
      <c r="H9" s="18" t="inlineStr">
        <is>
          <t>Ricardo Mendes</t>
        </is>
      </c>
      <c r="I9" s="18" t="inlineStr">
        <is>
          <t>—</t>
        </is>
      </c>
    </row>
  </sheetData>
  <dataValidations count="1">
    <dataValidation sqref="G2 G3 G4 G5 G6 G7 G8 G9" showDropDown="0" showInputMessage="0" showErrorMessage="0" allowBlank="0" type="list">
      <formula1>"Em Andamento,Concluída,Paralisada,Planejada"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20" customWidth="1" min="4" max="4"/>
    <col width="12" customWidth="1" min="5" max="5"/>
    <col width="16" customWidth="1" min="6" max="6"/>
    <col width="10" customWidth="1" min="7" max="7"/>
  </cols>
  <sheetData>
    <row r="1" ht="28" customHeight="1">
      <c r="A1" s="15" t="inlineStr">
        <is>
          <t>ID_Material</t>
        </is>
      </c>
      <c r="B1" s="15" t="inlineStr">
        <is>
          <t>Nome_Material</t>
        </is>
      </c>
      <c r="C1" s="15" t="inlineStr">
        <is>
          <t>Tipo_Material</t>
        </is>
      </c>
      <c r="D1" s="15" t="inlineStr">
        <is>
          <t>Categoria</t>
        </is>
      </c>
      <c r="E1" s="15" t="inlineStr">
        <is>
          <t>Unidade</t>
        </is>
      </c>
      <c r="F1" s="15" t="inlineStr">
        <is>
          <t>Estoque_Minimo</t>
        </is>
      </c>
      <c r="G1" s="15" t="inlineStr">
        <is>
          <t>Ativo</t>
        </is>
      </c>
    </row>
    <row r="2" ht="22" customHeight="1">
      <c r="A2" s="16" t="n">
        <v>1</v>
      </c>
      <c r="B2" s="17" t="inlineStr">
        <is>
          <t>Cimento CP-II 50kg</t>
        </is>
      </c>
      <c r="C2" s="22" t="inlineStr">
        <is>
          <t>Consumível</t>
        </is>
      </c>
      <c r="D2" s="17" t="inlineStr">
        <is>
          <t>Construção</t>
        </is>
      </c>
      <c r="E2" s="17" t="inlineStr">
        <is>
          <t>Saco</t>
        </is>
      </c>
      <c r="F2" s="17" t="n">
        <v>20</v>
      </c>
      <c r="G2" s="17" t="inlineStr">
        <is>
          <t>Sim</t>
        </is>
      </c>
    </row>
    <row r="3" ht="22" customHeight="1">
      <c r="A3" s="16" t="n">
        <v>2</v>
      </c>
      <c r="B3" s="17" t="inlineStr">
        <is>
          <t>Areia Média (m³)</t>
        </is>
      </c>
      <c r="C3" s="22" t="inlineStr">
        <is>
          <t>Consumível</t>
        </is>
      </c>
      <c r="D3" s="17" t="inlineStr">
        <is>
          <t>Construção</t>
        </is>
      </c>
      <c r="E3" s="17" t="inlineStr">
        <is>
          <t>m³</t>
        </is>
      </c>
      <c r="F3" s="17" t="n">
        <v>5</v>
      </c>
      <c r="G3" s="17" t="inlineStr">
        <is>
          <t>Sim</t>
        </is>
      </c>
    </row>
    <row r="4" ht="22" customHeight="1">
      <c r="A4" s="16" t="n">
        <v>3</v>
      </c>
      <c r="B4" s="17" t="inlineStr">
        <is>
          <t>Brita 1 (m³)</t>
        </is>
      </c>
      <c r="C4" s="22" t="inlineStr">
        <is>
          <t>Consumível</t>
        </is>
      </c>
      <c r="D4" s="17" t="inlineStr">
        <is>
          <t>Construção</t>
        </is>
      </c>
      <c r="E4" s="17" t="inlineStr">
        <is>
          <t>m³</t>
        </is>
      </c>
      <c r="F4" s="17" t="n">
        <v>5</v>
      </c>
      <c r="G4" s="17" t="inlineStr">
        <is>
          <t>Sim</t>
        </is>
      </c>
    </row>
    <row r="5" ht="22" customHeight="1">
      <c r="A5" s="16" t="n">
        <v>4</v>
      </c>
      <c r="B5" s="17" t="inlineStr">
        <is>
          <t>Tijolo Cerâmico 6 furos</t>
        </is>
      </c>
      <c r="C5" s="22" t="inlineStr">
        <is>
          <t>Consumível</t>
        </is>
      </c>
      <c r="D5" s="17" t="inlineStr">
        <is>
          <t>Construção</t>
        </is>
      </c>
      <c r="E5" s="17" t="inlineStr">
        <is>
          <t>Un</t>
        </is>
      </c>
      <c r="F5" s="17" t="n">
        <v>500</v>
      </c>
      <c r="G5" s="17" t="inlineStr">
        <is>
          <t>Sim</t>
        </is>
      </c>
    </row>
    <row r="6" ht="22" customHeight="1">
      <c r="A6" s="16" t="n">
        <v>5</v>
      </c>
      <c r="B6" s="17" t="inlineStr">
        <is>
          <t>Tinta Látex PVA Branco 18L</t>
        </is>
      </c>
      <c r="C6" s="22" t="inlineStr">
        <is>
          <t>Consumível</t>
        </is>
      </c>
      <c r="D6" s="17" t="inlineStr">
        <is>
          <t>Pintura</t>
        </is>
      </c>
      <c r="E6" s="17" t="inlineStr">
        <is>
          <t>Un</t>
        </is>
      </c>
      <c r="F6" s="17" t="n">
        <v>10</v>
      </c>
      <c r="G6" s="17" t="inlineStr">
        <is>
          <t>Sim</t>
        </is>
      </c>
    </row>
    <row r="7" ht="22" customHeight="1">
      <c r="A7" s="16" t="n">
        <v>6</v>
      </c>
      <c r="B7" s="17" t="inlineStr">
        <is>
          <t>Tinta Acrílica Premium 18L</t>
        </is>
      </c>
      <c r="C7" s="22" t="inlineStr">
        <is>
          <t>Consumível</t>
        </is>
      </c>
      <c r="D7" s="17" t="inlineStr">
        <is>
          <t>Pintura</t>
        </is>
      </c>
      <c r="E7" s="17" t="inlineStr">
        <is>
          <t>Un</t>
        </is>
      </c>
      <c r="F7" s="17" t="n">
        <v>8</v>
      </c>
      <c r="G7" s="17" t="inlineStr">
        <is>
          <t>Sim</t>
        </is>
      </c>
    </row>
    <row r="8" ht="22" customHeight="1">
      <c r="A8" s="16" t="n">
        <v>7</v>
      </c>
      <c r="B8" s="17" t="inlineStr">
        <is>
          <t>Selador Acrílico 18L</t>
        </is>
      </c>
      <c r="C8" s="22" t="inlineStr">
        <is>
          <t>Consumível</t>
        </is>
      </c>
      <c r="D8" s="17" t="inlineStr">
        <is>
          <t>Pintura</t>
        </is>
      </c>
      <c r="E8" s="17" t="inlineStr">
        <is>
          <t>Un</t>
        </is>
      </c>
      <c r="F8" s="17" t="n">
        <v>6</v>
      </c>
      <c r="G8" s="17" t="inlineStr">
        <is>
          <t>Sim</t>
        </is>
      </c>
    </row>
    <row r="9" ht="22" customHeight="1">
      <c r="A9" s="16" t="n">
        <v>8</v>
      </c>
      <c r="B9" s="17" t="inlineStr">
        <is>
          <t>Massa Corrida PVA 25kg</t>
        </is>
      </c>
      <c r="C9" s="22" t="inlineStr">
        <is>
          <t>Consumível</t>
        </is>
      </c>
      <c r="D9" s="17" t="inlineStr">
        <is>
          <t>Pintura</t>
        </is>
      </c>
      <c r="E9" s="17" t="inlineStr">
        <is>
          <t>Saco</t>
        </is>
      </c>
      <c r="F9" s="17" t="n">
        <v>10</v>
      </c>
      <c r="G9" s="17" t="inlineStr">
        <is>
          <t>Sim</t>
        </is>
      </c>
    </row>
    <row r="10" ht="22" customHeight="1">
      <c r="A10" s="16" t="n">
        <v>9</v>
      </c>
      <c r="B10" s="17" t="inlineStr">
        <is>
          <t>Argamassa AC-II 20kg</t>
        </is>
      </c>
      <c r="C10" s="22" t="inlineStr">
        <is>
          <t>Consumível</t>
        </is>
      </c>
      <c r="D10" s="17" t="inlineStr">
        <is>
          <t>Construção</t>
        </is>
      </c>
      <c r="E10" s="17" t="inlineStr">
        <is>
          <t>Saco</t>
        </is>
      </c>
      <c r="F10" s="17" t="n">
        <v>30</v>
      </c>
      <c r="G10" s="17" t="inlineStr">
        <is>
          <t>Sim</t>
        </is>
      </c>
    </row>
    <row r="11" ht="22" customHeight="1">
      <c r="A11" s="16" t="n">
        <v>10</v>
      </c>
      <c r="B11" s="17" t="inlineStr">
        <is>
          <t>Cal Hidratado 20kg</t>
        </is>
      </c>
      <c r="C11" s="22" t="inlineStr">
        <is>
          <t>Consumível</t>
        </is>
      </c>
      <c r="D11" s="17" t="inlineStr">
        <is>
          <t>Construção</t>
        </is>
      </c>
      <c r="E11" s="17" t="inlineStr">
        <is>
          <t>Saco</t>
        </is>
      </c>
      <c r="F11" s="17" t="n">
        <v>20</v>
      </c>
      <c r="G11" s="17" t="inlineStr">
        <is>
          <t>Sim</t>
        </is>
      </c>
    </row>
    <row r="12" ht="22" customHeight="1">
      <c r="A12" s="16" t="n">
        <v>11</v>
      </c>
      <c r="B12" s="17" t="inlineStr">
        <is>
          <t>Fio Elétrico 2,5mm (rolo)</t>
        </is>
      </c>
      <c r="C12" s="22" t="inlineStr">
        <is>
          <t>Consumível</t>
        </is>
      </c>
      <c r="D12" s="17" t="inlineStr">
        <is>
          <t>Elétrico</t>
        </is>
      </c>
      <c r="E12" s="17" t="inlineStr">
        <is>
          <t>Rolo</t>
        </is>
      </c>
      <c r="F12" s="17" t="n">
        <v>5</v>
      </c>
      <c r="G12" s="17" t="inlineStr">
        <is>
          <t>Sim</t>
        </is>
      </c>
    </row>
    <row r="13" ht="22" customHeight="1">
      <c r="A13" s="16" t="n">
        <v>12</v>
      </c>
      <c r="B13" s="17" t="inlineStr">
        <is>
          <t>Disjuntor 20A</t>
        </is>
      </c>
      <c r="C13" s="22" t="inlineStr">
        <is>
          <t>Consumível</t>
        </is>
      </c>
      <c r="D13" s="17" t="inlineStr">
        <is>
          <t>Elétrico</t>
        </is>
      </c>
      <c r="E13" s="17" t="inlineStr">
        <is>
          <t>Un</t>
        </is>
      </c>
      <c r="F13" s="17" t="n">
        <v>10</v>
      </c>
      <c r="G13" s="17" t="inlineStr">
        <is>
          <t>Sim</t>
        </is>
      </c>
    </row>
    <row r="14" ht="22" customHeight="1">
      <c r="A14" s="16" t="n">
        <v>13</v>
      </c>
      <c r="B14" s="17" t="inlineStr">
        <is>
          <t>Cano PVC 100mm (6m)</t>
        </is>
      </c>
      <c r="C14" s="22" t="inlineStr">
        <is>
          <t>Consumível</t>
        </is>
      </c>
      <c r="D14" s="17" t="inlineStr">
        <is>
          <t>Hidráulico</t>
        </is>
      </c>
      <c r="E14" s="17" t="inlineStr">
        <is>
          <t>Un</t>
        </is>
      </c>
      <c r="F14" s="17" t="n">
        <v>15</v>
      </c>
      <c r="G14" s="17" t="inlineStr">
        <is>
          <t>Sim</t>
        </is>
      </c>
    </row>
    <row r="15" ht="22" customHeight="1">
      <c r="A15" s="16" t="n">
        <v>14</v>
      </c>
      <c r="B15" s="17" t="inlineStr">
        <is>
          <t>Joelho PVC 90° 100mm</t>
        </is>
      </c>
      <c r="C15" s="22" t="inlineStr">
        <is>
          <t>Consumível</t>
        </is>
      </c>
      <c r="D15" s="17" t="inlineStr">
        <is>
          <t>Hidráulico</t>
        </is>
      </c>
      <c r="E15" s="17" t="inlineStr">
        <is>
          <t>Un</t>
        </is>
      </c>
      <c r="F15" s="17" t="n">
        <v>20</v>
      </c>
      <c r="G15" s="17" t="inlineStr">
        <is>
          <t>Sim</t>
        </is>
      </c>
    </row>
    <row r="16" ht="22" customHeight="1">
      <c r="A16" s="16" t="n">
        <v>15</v>
      </c>
      <c r="B16" s="17" t="inlineStr">
        <is>
          <t>Prego 17x27 (kg)</t>
        </is>
      </c>
      <c r="C16" s="22" t="inlineStr">
        <is>
          <t>Consumível</t>
        </is>
      </c>
      <c r="D16" s="17" t="inlineStr">
        <is>
          <t>Ferramentas</t>
        </is>
      </c>
      <c r="E16" s="17" t="inlineStr">
        <is>
          <t>Kg</t>
        </is>
      </c>
      <c r="F16" s="17" t="n">
        <v>10</v>
      </c>
      <c r="G16" s="17" t="inlineStr">
        <is>
          <t>Sim</t>
        </is>
      </c>
    </row>
    <row r="17" ht="22" customHeight="1">
      <c r="A17" s="16" t="n">
        <v>16</v>
      </c>
      <c r="B17" s="17" t="inlineStr">
        <is>
          <t>Parafuso Sextavado M10</t>
        </is>
      </c>
      <c r="C17" s="22" t="inlineStr">
        <is>
          <t>Consumível</t>
        </is>
      </c>
      <c r="D17" s="17" t="inlineStr">
        <is>
          <t>Ferramentas</t>
        </is>
      </c>
      <c r="E17" s="17" t="inlineStr">
        <is>
          <t>Cx</t>
        </is>
      </c>
      <c r="F17" s="17" t="n">
        <v>5</v>
      </c>
      <c r="G17" s="17" t="inlineStr">
        <is>
          <t>Sim</t>
        </is>
      </c>
    </row>
    <row r="18" ht="22" customHeight="1">
      <c r="A18" s="16" t="n">
        <v>17</v>
      </c>
      <c r="B18" s="25" t="inlineStr">
        <is>
          <t>Betoneira 400L</t>
        </is>
      </c>
      <c r="C18" s="26" t="inlineStr">
        <is>
          <t>Patrimonial</t>
        </is>
      </c>
      <c r="D18" s="25" t="inlineStr">
        <is>
          <t>Equipamentos</t>
        </is>
      </c>
      <c r="E18" s="25" t="inlineStr">
        <is>
          <t>Un</t>
        </is>
      </c>
      <c r="F18" s="25" t="n">
        <v>0</v>
      </c>
      <c r="G18" s="25" t="inlineStr">
        <is>
          <t>Sim</t>
        </is>
      </c>
    </row>
    <row r="19" ht="22" customHeight="1">
      <c r="A19" s="16" t="n">
        <v>18</v>
      </c>
      <c r="B19" s="25" t="inlineStr">
        <is>
          <t>Andaime Metálico (jogo)</t>
        </is>
      </c>
      <c r="C19" s="26" t="inlineStr">
        <is>
          <t>Patrimonial</t>
        </is>
      </c>
      <c r="D19" s="25" t="inlineStr">
        <is>
          <t>Equipamentos</t>
        </is>
      </c>
      <c r="E19" s="25" t="inlineStr">
        <is>
          <t>Jogo</t>
        </is>
      </c>
      <c r="F19" s="25" t="n">
        <v>0</v>
      </c>
      <c r="G19" s="25" t="inlineStr">
        <is>
          <t>Sim</t>
        </is>
      </c>
    </row>
    <row r="20" ht="22" customHeight="1">
      <c r="A20" s="16" t="n">
        <v>19</v>
      </c>
      <c r="B20" s="25" t="inlineStr">
        <is>
          <t>Escada Extensível 8m</t>
        </is>
      </c>
      <c r="C20" s="26" t="inlineStr">
        <is>
          <t>Patrimonial</t>
        </is>
      </c>
      <c r="D20" s="25" t="inlineStr">
        <is>
          <t>Equipamentos</t>
        </is>
      </c>
      <c r="E20" s="25" t="inlineStr">
        <is>
          <t>Un</t>
        </is>
      </c>
      <c r="F20" s="25" t="n">
        <v>0</v>
      </c>
      <c r="G20" s="25" t="inlineStr">
        <is>
          <t>Sim</t>
        </is>
      </c>
    </row>
    <row r="21" ht="22" customHeight="1">
      <c r="A21" s="16" t="n">
        <v>20</v>
      </c>
      <c r="B21" s="25" t="inlineStr">
        <is>
          <t>Compactador de Solo</t>
        </is>
      </c>
      <c r="C21" s="26" t="inlineStr">
        <is>
          <t>Patrimonial</t>
        </is>
      </c>
      <c r="D21" s="25" t="inlineStr">
        <is>
          <t>Equipamentos</t>
        </is>
      </c>
      <c r="E21" s="25" t="inlineStr">
        <is>
          <t>Un</t>
        </is>
      </c>
      <c r="F21" s="25" t="n">
        <v>0</v>
      </c>
      <c r="G21" s="25" t="inlineStr">
        <is>
          <t>Sim</t>
        </is>
      </c>
    </row>
    <row r="22" ht="22" customHeight="1">
      <c r="A22" s="16" t="n">
        <v>21</v>
      </c>
      <c r="B22" s="25" t="inlineStr">
        <is>
          <t>Serra Circular Elétrica</t>
        </is>
      </c>
      <c r="C22" s="26" t="inlineStr">
        <is>
          <t>Patrimonial</t>
        </is>
      </c>
      <c r="D22" s="25" t="inlineStr">
        <is>
          <t>Ferramentas</t>
        </is>
      </c>
      <c r="E22" s="25" t="inlineStr">
        <is>
          <t>Un</t>
        </is>
      </c>
      <c r="F22" s="25" t="n">
        <v>0</v>
      </c>
      <c r="G22" s="25" t="inlineStr">
        <is>
          <t>Sim</t>
        </is>
      </c>
    </row>
    <row r="23" ht="22" customHeight="1">
      <c r="A23" s="16" t="n">
        <v>22</v>
      </c>
      <c r="B23" s="25" t="inlineStr">
        <is>
          <t>Furadeira de Impacto</t>
        </is>
      </c>
      <c r="C23" s="26" t="inlineStr">
        <is>
          <t>Patrimonial</t>
        </is>
      </c>
      <c r="D23" s="25" t="inlineStr">
        <is>
          <t>Ferramentas</t>
        </is>
      </c>
      <c r="E23" s="25" t="inlineStr">
        <is>
          <t>Un</t>
        </is>
      </c>
      <c r="F23" s="25" t="n">
        <v>0</v>
      </c>
      <c r="G23" s="25" t="inlineStr">
        <is>
          <t>Sim</t>
        </is>
      </c>
    </row>
    <row r="24" ht="22" customHeight="1">
      <c r="A24" s="16" t="n">
        <v>23</v>
      </c>
      <c r="B24" s="25" t="inlineStr">
        <is>
          <t>Nível a Laser Rotativo</t>
        </is>
      </c>
      <c r="C24" s="26" t="inlineStr">
        <is>
          <t>Patrimonial</t>
        </is>
      </c>
      <c r="D24" s="25" t="inlineStr">
        <is>
          <t>Ferramentas</t>
        </is>
      </c>
      <c r="E24" s="25" t="inlineStr">
        <is>
          <t>Un</t>
        </is>
      </c>
      <c r="F24" s="25" t="n">
        <v>0</v>
      </c>
      <c r="G24" s="25" t="inlineStr">
        <is>
          <t>Sim</t>
        </is>
      </c>
    </row>
    <row r="25" ht="22" customHeight="1">
      <c r="A25" s="16" t="n">
        <v>24</v>
      </c>
      <c r="B25" s="25" t="inlineStr">
        <is>
          <t>Carrinho de Mão</t>
        </is>
      </c>
      <c r="C25" s="26" t="inlineStr">
        <is>
          <t>Patrimonial</t>
        </is>
      </c>
      <c r="D25" s="25" t="inlineStr">
        <is>
          <t>Ferramentas</t>
        </is>
      </c>
      <c r="E25" s="25" t="inlineStr">
        <is>
          <t>Un</t>
        </is>
      </c>
      <c r="F25" s="25" t="n">
        <v>0</v>
      </c>
      <c r="G25" s="25" t="inlineStr">
        <is>
          <t>Sim</t>
        </is>
      </c>
    </row>
  </sheetData>
  <dataValidations count="4">
    <dataValidation sqref="C2 C3 C4 C5 C6 C7 C8 C9 C10 C11 C12 C13 C14 C15 C16 C17 C18 C19 C20 C21 C22 C23 C24 C25" showDropDown="0" showInputMessage="0" showErrorMessage="0" allowBlank="0" type="list">
      <formula1>"Consumível,Patrimonial"</formula1>
    </dataValidation>
    <dataValidation sqref="D2 D3 D4 D5 D6 D7 D8 D9 D10 D11 D12 D13 D14 D15 D16 D17 D18 D19 D20 D21 D22 D23 D24 D25" showDropDown="0" showInputMessage="0" showErrorMessage="0" allowBlank="0" type="list">
      <formula1>"Construção,Pintura,Elétrico,Hidráulico,Ferramentas,Equipamentos"</formula1>
    </dataValidation>
    <dataValidation sqref="E2 E3 E4 E5 E6 E7 E8 E9 E10 E11 E12 E13 E14 E15 E16 E17 E18 E19 E20 E21 E22 E23 E24 E25" showDropDown="0" showInputMessage="0" showErrorMessage="0" allowBlank="0" type="list">
      <formula1>"Saco,Un,m³,m²,m,Kg,L,Rolo,Cx,Jogo"</formula1>
    </dataValidation>
    <dataValidation sqref="G2 G3 G4 G5 G6 G7 G8 G9 G10 G11 G12 G13 G14 G15 G16 G17 G18 G19 G20 G21 G22 G23 G24 G25" showDropDown="0" showInputMessage="0" showErrorMessage="0" allowBlank="0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25" customWidth="1" min="4" max="4"/>
    <col width="10" customWidth="1" min="5" max="5"/>
  </cols>
  <sheetData>
    <row r="1" ht="28" customHeight="1">
      <c r="A1" s="15" t="inlineStr">
        <is>
          <t>ID_Fornecedor</t>
        </is>
      </c>
      <c r="B1" s="15" t="inlineStr">
        <is>
          <t>Nome_Fornecedor</t>
        </is>
      </c>
      <c r="C1" s="15" t="inlineStr">
        <is>
          <t>CNPJ</t>
        </is>
      </c>
      <c r="D1" s="15" t="inlineStr">
        <is>
          <t>Contato</t>
        </is>
      </c>
      <c r="E1" s="15" t="inlineStr">
        <is>
          <t>Ativo</t>
        </is>
      </c>
    </row>
    <row r="2" ht="22" customHeight="1">
      <c r="A2" s="16" t="n">
        <v>1</v>
      </c>
      <c r="B2" s="17" t="inlineStr">
        <is>
          <t>Construcenter Materiais Ltda</t>
        </is>
      </c>
      <c r="C2" s="17" t="inlineStr">
        <is>
          <t>14.567.890/0001-23</t>
        </is>
      </c>
      <c r="D2" s="17" t="inlineStr">
        <is>
          <t>(67) 3322-4400</t>
        </is>
      </c>
      <c r="E2" s="17" t="inlineStr">
        <is>
          <t>Sim</t>
        </is>
      </c>
    </row>
    <row r="3" ht="22" customHeight="1">
      <c r="A3" s="16" t="n">
        <v>2</v>
      </c>
      <c r="B3" s="18" t="inlineStr">
        <is>
          <t>Elétrica Mato Grosso do Sul S.A.</t>
        </is>
      </c>
      <c r="C3" s="18" t="inlineStr">
        <is>
          <t>08.901.234/0001-56</t>
        </is>
      </c>
      <c r="D3" s="18" t="inlineStr">
        <is>
          <t>(67) 3311-9900</t>
        </is>
      </c>
      <c r="E3" s="18" t="inlineStr">
        <is>
          <t>Sim</t>
        </is>
      </c>
    </row>
    <row r="4" ht="22" customHeight="1">
      <c r="A4" s="16" t="n">
        <v>3</v>
      </c>
      <c r="B4" s="17" t="inlineStr">
        <is>
          <t>Hidra Materiais Hidráulicos Eireli</t>
        </is>
      </c>
      <c r="C4" s="17" t="inlineStr">
        <is>
          <t>21.345.678/0001-89</t>
        </is>
      </c>
      <c r="D4" s="17" t="inlineStr">
        <is>
          <t>(67) 3344-1122</t>
        </is>
      </c>
      <c r="E4" s="17" t="inlineStr">
        <is>
          <t>Sim</t>
        </is>
      </c>
    </row>
    <row r="5" ht="22" customHeight="1">
      <c r="A5" s="16" t="n">
        <v>4</v>
      </c>
      <c r="B5" s="18" t="inlineStr">
        <is>
          <t>Tintas e Revestimentos Pantanal</t>
        </is>
      </c>
      <c r="C5" s="18" t="inlineStr">
        <is>
          <t>33.456.789/0001-12</t>
        </is>
      </c>
      <c r="D5" s="18" t="inlineStr">
        <is>
          <t>(67) 3355-6677</t>
        </is>
      </c>
      <c r="E5" s="18" t="inlineStr">
        <is>
          <t>Sim</t>
        </is>
      </c>
    </row>
    <row r="6" ht="22" customHeight="1">
      <c r="A6" s="16" t="n">
        <v>5</v>
      </c>
      <c r="B6" s="17" t="inlineStr">
        <is>
          <t>Distribuidora Central MS Ltda</t>
        </is>
      </c>
      <c r="C6" s="17" t="inlineStr">
        <is>
          <t>45.678.901/0001-34</t>
        </is>
      </c>
      <c r="D6" s="17" t="inlineStr">
        <is>
          <t>(67) 3366-8800</t>
        </is>
      </c>
      <c r="E6" s="17" t="inlineStr">
        <is>
          <t>Sim</t>
        </is>
      </c>
    </row>
    <row r="7" ht="22" customHeight="1">
      <c r="A7" s="16" t="n">
        <v>6</v>
      </c>
      <c r="B7" s="18" t="inlineStr">
        <is>
          <t>FerraTech Equipamentos e Ferramentas</t>
        </is>
      </c>
      <c r="C7" s="18" t="inlineStr">
        <is>
          <t>56.789.012/0001-45</t>
        </is>
      </c>
      <c r="D7" s="18" t="inlineStr">
        <is>
          <t>(67) 3377-5500</t>
        </is>
      </c>
      <c r="E7" s="18" t="inlineStr">
        <is>
          <t>Sim</t>
        </is>
      </c>
    </row>
  </sheetData>
  <dataValidations count="1">
    <dataValidation sqref="E2 E3 E4 E5 E6 E7" showDropDown="0" showInputMessage="0" showErrorMessage="0" allowBlank="0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28" customWidth="1" min="4" max="4"/>
    <col width="20" customWidth="1" min="5" max="5"/>
    <col width="15" customWidth="1" min="6" max="6"/>
    <col width="20" customWidth="1" min="7" max="7"/>
    <col width="18" customWidth="1" min="8" max="8"/>
    <col width="18" customWidth="1" min="9" max="9"/>
    <col width="36" customWidth="1" min="10" max="10"/>
  </cols>
  <sheetData>
    <row r="1" ht="28" customHeight="1">
      <c r="A1" s="15" t="inlineStr">
        <is>
          <t>ID_Patrimônio</t>
        </is>
      </c>
      <c r="B1" s="15" t="inlineStr">
        <is>
          <t>Num_Patrimônio</t>
        </is>
      </c>
      <c r="C1" s="15" t="inlineStr">
        <is>
          <t>ID_Material</t>
        </is>
      </c>
      <c r="D1" s="27" t="inlineStr">
        <is>
          <t>Nome_Material (Referência)</t>
        </is>
      </c>
      <c r="E1" s="15" t="inlineStr">
        <is>
          <t>ID_Sec_Proprietaria</t>
        </is>
      </c>
      <c r="F1" s="15" t="inlineStr">
        <is>
          <t>Data_Aquisicao</t>
        </is>
      </c>
      <c r="G1" s="15" t="inlineStr">
        <is>
          <t>Estado_Conservacao</t>
        </is>
      </c>
      <c r="H1" s="15" t="inlineStr">
        <is>
          <t>ID_Unidade_Atual</t>
        </is>
      </c>
      <c r="I1" s="15" t="inlineStr">
        <is>
          <t>Status</t>
        </is>
      </c>
      <c r="J1" s="15" t="inlineStr">
        <is>
          <t>Observacoes</t>
        </is>
      </c>
    </row>
    <row r="2" ht="22" customHeight="1">
      <c r="A2" s="16" t="n">
        <v>1</v>
      </c>
      <c r="B2" s="17" t="inlineStr">
        <is>
          <t>SPP-2023-0001</t>
        </is>
      </c>
      <c r="C2" s="17" t="n">
        <v>17</v>
      </c>
      <c r="D2" s="28" t="inlineStr">
        <is>
          <t>Betoneira 400L</t>
        </is>
      </c>
      <c r="E2" s="17" t="n">
        <v>1</v>
      </c>
      <c r="F2" s="21" t="n">
        <v>45000</v>
      </c>
      <c r="G2" s="17" t="inlineStr">
        <is>
          <t>Bom</t>
        </is>
      </c>
      <c r="H2" s="17" t="n">
        <v>3</v>
      </c>
      <c r="I2" s="24" t="inlineStr">
        <is>
          <t>Disponível</t>
        </is>
      </c>
      <c r="J2" s="17" t="inlineStr">
        <is>
          <t>—</t>
        </is>
      </c>
    </row>
    <row r="3" ht="22" customHeight="1">
      <c r="A3" s="16" t="n">
        <v>2</v>
      </c>
      <c r="B3" s="18" t="inlineStr">
        <is>
          <t>SPP-2023-0002</t>
        </is>
      </c>
      <c r="C3" s="18" t="n">
        <v>17</v>
      </c>
      <c r="D3" s="28" t="inlineStr">
        <is>
          <t>Betoneira 400L</t>
        </is>
      </c>
      <c r="E3" s="18" t="n">
        <v>1</v>
      </c>
      <c r="F3" s="23" t="n">
        <v>45000</v>
      </c>
      <c r="G3" s="18" t="inlineStr">
        <is>
          <t>Regular</t>
        </is>
      </c>
      <c r="H3" s="18" t="n">
        <v>3</v>
      </c>
      <c r="I3" s="22" t="inlineStr">
        <is>
          <t>Em Uso</t>
        </is>
      </c>
      <c r="J3" s="18" t="inlineStr">
        <is>
          <t>Em uso na Obra 001</t>
        </is>
      </c>
    </row>
    <row r="4" ht="22" customHeight="1">
      <c r="A4" s="16" t="n">
        <v>3</v>
      </c>
      <c r="B4" s="17" t="inlineStr">
        <is>
          <t>SPP-2024-0001</t>
        </is>
      </c>
      <c r="C4" s="17" t="n">
        <v>17</v>
      </c>
      <c r="D4" s="28" t="inlineStr">
        <is>
          <t>Betoneira 400L</t>
        </is>
      </c>
      <c r="E4" s="17" t="n">
        <v>1</v>
      </c>
      <c r="F4" s="21" t="n">
        <v>45301</v>
      </c>
      <c r="G4" s="17" t="inlineStr">
        <is>
          <t>Ótimo</t>
        </is>
      </c>
      <c r="H4" s="17" t="n">
        <v>3</v>
      </c>
      <c r="I4" s="29" t="inlineStr">
        <is>
          <t>Emprestado</t>
        </is>
      </c>
      <c r="J4" s="17" t="inlineStr">
        <is>
          <t>Emprestado para SMS</t>
        </is>
      </c>
    </row>
    <row r="5" ht="22" customHeight="1">
      <c r="A5" s="16" t="n">
        <v>4</v>
      </c>
      <c r="B5" s="18" t="inlineStr">
        <is>
          <t>SPP-2022-0001</t>
        </is>
      </c>
      <c r="C5" s="18" t="n">
        <v>18</v>
      </c>
      <c r="D5" s="28" t="inlineStr">
        <is>
          <t>Andaime Metálico (jogo)</t>
        </is>
      </c>
      <c r="E5" s="18" t="n">
        <v>1</v>
      </c>
      <c r="F5" s="23" t="n">
        <v>44701</v>
      </c>
      <c r="G5" s="18" t="inlineStr">
        <is>
          <t>Bom</t>
        </is>
      </c>
      <c r="H5" s="18" t="n">
        <v>3</v>
      </c>
      <c r="I5" s="22" t="inlineStr">
        <is>
          <t>Em Uso</t>
        </is>
      </c>
      <c r="J5" s="18" t="inlineStr">
        <is>
          <t>Obra 005</t>
        </is>
      </c>
    </row>
    <row r="6" ht="22" customHeight="1">
      <c r="A6" s="16" t="n">
        <v>5</v>
      </c>
      <c r="B6" s="17" t="inlineStr">
        <is>
          <t>SPP-2022-0002</t>
        </is>
      </c>
      <c r="C6" s="17" t="n">
        <v>18</v>
      </c>
      <c r="D6" s="28" t="inlineStr">
        <is>
          <t>Andaime Metálico (jogo)</t>
        </is>
      </c>
      <c r="E6" s="17" t="n">
        <v>1</v>
      </c>
      <c r="F6" s="21" t="n">
        <v>44701</v>
      </c>
      <c r="G6" s="17" t="inlineStr">
        <is>
          <t>Regular</t>
        </is>
      </c>
      <c r="H6" s="17" t="n">
        <v>3</v>
      </c>
      <c r="I6" s="24" t="inlineStr">
        <is>
          <t>Disponível</t>
        </is>
      </c>
      <c r="J6" s="17" t="inlineStr">
        <is>
          <t>—</t>
        </is>
      </c>
    </row>
    <row r="7" ht="22" customHeight="1">
      <c r="A7" s="16" t="n">
        <v>6</v>
      </c>
      <c r="B7" s="18" t="inlineStr">
        <is>
          <t>SPP-2021-0001</t>
        </is>
      </c>
      <c r="C7" s="18" t="n">
        <v>19</v>
      </c>
      <c r="D7" s="28" t="inlineStr">
        <is>
          <t>Escada Extensível 8m</t>
        </is>
      </c>
      <c r="E7" s="18" t="n">
        <v>1</v>
      </c>
      <c r="F7" s="23" t="n">
        <v>44409</v>
      </c>
      <c r="G7" s="18" t="inlineStr">
        <is>
          <t>Bom</t>
        </is>
      </c>
      <c r="H7" s="18" t="n">
        <v>3</v>
      </c>
      <c r="I7" s="29" t="inlineStr">
        <is>
          <t>Emprestado</t>
        </is>
      </c>
      <c r="J7" s="18" t="inlineStr">
        <is>
          <t>Com SEMED</t>
        </is>
      </c>
    </row>
    <row r="8" ht="22" customHeight="1">
      <c r="A8" s="16" t="n">
        <v>7</v>
      </c>
      <c r="B8" s="17" t="inlineStr">
        <is>
          <t>SPP-2021-0002</t>
        </is>
      </c>
      <c r="C8" s="17" t="n">
        <v>19</v>
      </c>
      <c r="D8" s="28" t="inlineStr">
        <is>
          <t>Escada Extensível 8m</t>
        </is>
      </c>
      <c r="E8" s="17" t="n">
        <v>1</v>
      </c>
      <c r="F8" s="21" t="n">
        <v>44409</v>
      </c>
      <c r="G8" s="17" t="inlineStr">
        <is>
          <t>Danificado</t>
        </is>
      </c>
      <c r="H8" s="17" t="n">
        <v>3</v>
      </c>
      <c r="I8" s="30" t="inlineStr">
        <is>
          <t>Manutenção</t>
        </is>
      </c>
      <c r="J8" s="17" t="inlineStr">
        <is>
          <t>Enviar para reparo</t>
        </is>
      </c>
    </row>
    <row r="9" ht="22" customHeight="1">
      <c r="A9" s="16" t="n">
        <v>8</v>
      </c>
      <c r="B9" s="18" t="inlineStr">
        <is>
          <t>SPP-2024-0002</t>
        </is>
      </c>
      <c r="C9" s="18" t="n">
        <v>20</v>
      </c>
      <c r="D9" s="28" t="inlineStr">
        <is>
          <t>Compactador de Solo</t>
        </is>
      </c>
      <c r="E9" s="18" t="n">
        <v>1</v>
      </c>
      <c r="F9" s="23" t="n">
        <v>45444</v>
      </c>
      <c r="G9" s="18" t="inlineStr">
        <is>
          <t>Ótimo</t>
        </is>
      </c>
      <c r="H9" s="18" t="n">
        <v>3</v>
      </c>
      <c r="I9" s="22" t="inlineStr">
        <is>
          <t>Em Uso</t>
        </is>
      </c>
      <c r="J9" s="18" t="inlineStr">
        <is>
          <t>Obra 007</t>
        </is>
      </c>
    </row>
    <row r="10" ht="22" customHeight="1">
      <c r="A10" s="16" t="n">
        <v>9</v>
      </c>
      <c r="B10" s="17" t="inlineStr">
        <is>
          <t>SEMOB-2023-001</t>
        </is>
      </c>
      <c r="C10" s="17" t="n">
        <v>21</v>
      </c>
      <c r="D10" s="28" t="inlineStr">
        <is>
          <t>Serra Circular Elétrica</t>
        </is>
      </c>
      <c r="E10" s="17" t="n">
        <v>4</v>
      </c>
      <c r="F10" s="21" t="n">
        <v>45179</v>
      </c>
      <c r="G10" s="17" t="inlineStr">
        <is>
          <t>Bom</t>
        </is>
      </c>
      <c r="H10" s="17" t="n">
        <v>11</v>
      </c>
      <c r="I10" s="24" t="inlineStr">
        <is>
          <t>Disponível</t>
        </is>
      </c>
      <c r="J10" s="17" t="inlineStr">
        <is>
          <t>—</t>
        </is>
      </c>
    </row>
    <row r="11" ht="22" customHeight="1">
      <c r="A11" s="16" t="n">
        <v>10</v>
      </c>
      <c r="B11" s="18" t="inlineStr">
        <is>
          <t>SPP-2022-0003</t>
        </is>
      </c>
      <c r="C11" s="18" t="n">
        <v>22</v>
      </c>
      <c r="D11" s="28" t="inlineStr">
        <is>
          <t>Furadeira de Impacto</t>
        </is>
      </c>
      <c r="E11" s="18" t="n">
        <v>1</v>
      </c>
      <c r="F11" s="23" t="n">
        <v>44870</v>
      </c>
      <c r="G11" s="18" t="inlineStr">
        <is>
          <t>Ótimo</t>
        </is>
      </c>
      <c r="H11" s="18" t="n">
        <v>3</v>
      </c>
      <c r="I11" s="22" t="inlineStr">
        <is>
          <t>Em Uso</t>
        </is>
      </c>
      <c r="J11" s="18" t="inlineStr">
        <is>
          <t>Obra 002</t>
        </is>
      </c>
    </row>
    <row r="12" ht="22" customHeight="1">
      <c r="A12" s="16" t="n">
        <v>11</v>
      </c>
      <c r="B12" s="17" t="inlineStr">
        <is>
          <t>SPP-2022-0004</t>
        </is>
      </c>
      <c r="C12" s="17" t="n">
        <v>22</v>
      </c>
      <c r="D12" s="28" t="inlineStr">
        <is>
          <t>Furadeira de Impacto</t>
        </is>
      </c>
      <c r="E12" s="17" t="n">
        <v>1</v>
      </c>
      <c r="F12" s="21" t="n">
        <v>44870</v>
      </c>
      <c r="G12" s="17" t="inlineStr">
        <is>
          <t>Bom</t>
        </is>
      </c>
      <c r="H12" s="17" t="n">
        <v>3</v>
      </c>
      <c r="I12" s="24" t="inlineStr">
        <is>
          <t>Disponível</t>
        </is>
      </c>
      <c r="J12" s="17" t="inlineStr">
        <is>
          <t>—</t>
        </is>
      </c>
    </row>
    <row r="13" ht="22" customHeight="1">
      <c r="A13" s="16" t="n">
        <v>12</v>
      </c>
      <c r="B13" s="18" t="inlineStr">
        <is>
          <t>SPP-2025-0001</t>
        </is>
      </c>
      <c r="C13" s="18" t="n">
        <v>23</v>
      </c>
      <c r="D13" s="28" t="inlineStr">
        <is>
          <t>Nível a Laser Rotativo</t>
        </is>
      </c>
      <c r="E13" s="18" t="n">
        <v>1</v>
      </c>
      <c r="F13" s="23" t="n">
        <v>45708</v>
      </c>
      <c r="G13" s="18" t="inlineStr">
        <is>
          <t>Ótimo</t>
        </is>
      </c>
      <c r="H13" s="18" t="n">
        <v>3</v>
      </c>
      <c r="I13" s="22" t="inlineStr">
        <is>
          <t>Em Uso</t>
        </is>
      </c>
      <c r="J13" s="18" t="inlineStr">
        <is>
          <t>Obra 005</t>
        </is>
      </c>
    </row>
    <row r="14" ht="22" customHeight="1">
      <c r="A14" s="16" t="n">
        <v>13</v>
      </c>
      <c r="B14" s="17" t="inlineStr">
        <is>
          <t>SPP-2020-0001</t>
        </is>
      </c>
      <c r="C14" s="17" t="n">
        <v>24</v>
      </c>
      <c r="D14" s="28" t="inlineStr">
        <is>
          <t>Carrinho de Mão</t>
        </is>
      </c>
      <c r="E14" s="17" t="n">
        <v>1</v>
      </c>
      <c r="F14" s="21" t="n">
        <v>43931</v>
      </c>
      <c r="G14" s="17" t="inlineStr">
        <is>
          <t>Regular</t>
        </is>
      </c>
      <c r="H14" s="17" t="n">
        <v>3</v>
      </c>
      <c r="I14" s="22" t="inlineStr">
        <is>
          <t>Em Uso</t>
        </is>
      </c>
      <c r="J14" s="17" t="inlineStr">
        <is>
          <t>Obra 001</t>
        </is>
      </c>
    </row>
    <row r="15" ht="22" customHeight="1">
      <c r="A15" s="16" t="n">
        <v>14</v>
      </c>
      <c r="B15" s="18" t="inlineStr">
        <is>
          <t>SPP-2020-0002</t>
        </is>
      </c>
      <c r="C15" s="18" t="n">
        <v>24</v>
      </c>
      <c r="D15" s="28" t="inlineStr">
        <is>
          <t>Carrinho de Mão</t>
        </is>
      </c>
      <c r="E15" s="18" t="n">
        <v>1</v>
      </c>
      <c r="F15" s="23" t="n">
        <v>43931</v>
      </c>
      <c r="G15" s="18" t="inlineStr">
        <is>
          <t>Bom</t>
        </is>
      </c>
      <c r="H15" s="18" t="n">
        <v>3</v>
      </c>
      <c r="I15" s="22" t="inlineStr">
        <is>
          <t>Em Uso</t>
        </is>
      </c>
      <c r="J15" s="18" t="inlineStr">
        <is>
          <t>Obra 005</t>
        </is>
      </c>
    </row>
    <row r="16" ht="22" customHeight="1">
      <c r="A16" s="16" t="n">
        <v>15</v>
      </c>
      <c r="B16" s="17" t="inlineStr">
        <is>
          <t>SPP-2020-0003</t>
        </is>
      </c>
      <c r="C16" s="17" t="n">
        <v>24</v>
      </c>
      <c r="D16" s="28" t="inlineStr">
        <is>
          <t>Carrinho de Mão</t>
        </is>
      </c>
      <c r="E16" s="17" t="n">
        <v>1</v>
      </c>
      <c r="F16" s="21" t="n">
        <v>43931</v>
      </c>
      <c r="G16" s="17" t="inlineStr">
        <is>
          <t>Danificado</t>
        </is>
      </c>
      <c r="H16" s="17" t="n">
        <v>3</v>
      </c>
      <c r="I16" s="30" t="inlineStr">
        <is>
          <t>Manutenção</t>
        </is>
      </c>
      <c r="J16" s="17" t="inlineStr">
        <is>
          <t>Roda quebrada</t>
        </is>
      </c>
    </row>
  </sheetData>
  <dataValidations count="2">
    <dataValidation sqref="G2 G3 G4 G5 G6 G7 G8 G9 G10 G11 G12 G13 G14 G15 G16" showDropDown="0" showInputMessage="0" showErrorMessage="0" allowBlank="0" type="list">
      <formula1>"Ótimo,Bom,Regular,Danificado"</formula1>
    </dataValidation>
    <dataValidation sqref="I2 I3 I4 I5 I6 I7 I8 I9 I10 I11 I12 I13 I14 I15 I16" showDropDown="0" showInputMessage="0" showErrorMessage="0" allowBlank="0" type="list">
      <formula1>"Disponível,Em Uso,Emprestado,Manutenção,Baixado"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44546A"/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8" customWidth="1" min="4" max="4"/>
    <col width="20" customWidth="1" min="5" max="5"/>
    <col width="20" customWidth="1" min="6" max="6"/>
    <col width="15" customWidth="1" min="7" max="7"/>
    <col width="12" customWidth="1" min="8" max="8"/>
    <col width="18" customWidth="1" min="9" max="9"/>
    <col width="10" customWidth="1" min="10" max="10"/>
    <col width="36" customWidth="1" min="11" max="11"/>
  </cols>
  <sheetData>
    <row r="1" ht="28" customHeight="1">
      <c r="A1" s="31" t="inlineStr">
        <is>
          <t>ID_Entrada</t>
        </is>
      </c>
      <c r="B1" s="31" t="inlineStr">
        <is>
          <t>Data_Entrada</t>
        </is>
      </c>
      <c r="C1" s="31" t="inlineStr">
        <is>
          <t>ID_Material</t>
        </is>
      </c>
      <c r="D1" s="27" t="inlineStr">
        <is>
          <t>Nome_Material (Referência)</t>
        </is>
      </c>
      <c r="E1" s="31" t="inlineStr">
        <is>
          <t>ID_Sec_Proprietaria</t>
        </is>
      </c>
      <c r="F1" s="31" t="inlineStr">
        <is>
          <t>ID_Unidade_Destino</t>
        </is>
      </c>
      <c r="G1" s="31" t="inlineStr">
        <is>
          <t>ID_Fornecedor</t>
        </is>
      </c>
      <c r="H1" s="31" t="inlineStr">
        <is>
          <t>Quantidade</t>
        </is>
      </c>
      <c r="I1" s="31" t="inlineStr">
        <is>
          <t>Nota_Fiscal</t>
        </is>
      </c>
      <c r="J1" s="31" t="inlineStr">
        <is>
          <t>ID_Obra</t>
        </is>
      </c>
      <c r="K1" s="31" t="inlineStr">
        <is>
          <t>Observacoes</t>
        </is>
      </c>
    </row>
    <row r="2" ht="22" customHeight="1">
      <c r="A2" s="16" t="n">
        <v>1</v>
      </c>
      <c r="B2" s="21" t="n">
        <v>46147</v>
      </c>
      <c r="C2" s="17" t="n">
        <v>1</v>
      </c>
      <c r="D2" s="28" t="inlineStr">
        <is>
          <t>Cimento CP-II 50kg</t>
        </is>
      </c>
      <c r="E2" s="17" t="n">
        <v>2</v>
      </c>
      <c r="F2" s="17" t="n">
        <v>4</v>
      </c>
      <c r="G2" s="17" t="n">
        <v>1</v>
      </c>
      <c r="H2" s="22" t="n">
        <v>100</v>
      </c>
      <c r="I2" s="17" t="inlineStr">
        <is>
          <t>NF-e 00012345</t>
        </is>
      </c>
      <c r="J2" s="17" t="n">
        <v>1</v>
      </c>
      <c r="K2" s="17" t="inlineStr">
        <is>
          <t>Para reforma do telhado</t>
        </is>
      </c>
    </row>
    <row r="3" ht="22" customHeight="1">
      <c r="A3" s="16" t="n">
        <v>2</v>
      </c>
      <c r="B3" s="23" t="n">
        <v>46147</v>
      </c>
      <c r="C3" s="18" t="n">
        <v>2</v>
      </c>
      <c r="D3" s="28" t="inlineStr">
        <is>
          <t>Areia Média (m³)</t>
        </is>
      </c>
      <c r="E3" s="18" t="n">
        <v>2</v>
      </c>
      <c r="F3" s="18" t="n">
        <v>4</v>
      </c>
      <c r="G3" s="18" t="n">
        <v>1</v>
      </c>
      <c r="H3" s="32" t="n">
        <v>10</v>
      </c>
      <c r="I3" s="18" t="inlineStr">
        <is>
          <t>NF-e 00012345</t>
        </is>
      </c>
      <c r="J3" s="18" t="n">
        <v>1</v>
      </c>
      <c r="K3" s="18" t="inlineStr">
        <is>
          <t>—</t>
        </is>
      </c>
    </row>
    <row r="4" ht="22" customHeight="1">
      <c r="A4" s="16" t="n">
        <v>3</v>
      </c>
      <c r="B4" s="21" t="n">
        <v>46147</v>
      </c>
      <c r="C4" s="17" t="n">
        <v>9</v>
      </c>
      <c r="D4" s="28" t="inlineStr">
        <is>
          <t>Argamassa AC-II 20kg</t>
        </is>
      </c>
      <c r="E4" s="17" t="n">
        <v>2</v>
      </c>
      <c r="F4" s="17" t="n">
        <v>4</v>
      </c>
      <c r="G4" s="17" t="n">
        <v>1</v>
      </c>
      <c r="H4" s="22" t="n">
        <v>80</v>
      </c>
      <c r="I4" s="17" t="inlineStr">
        <is>
          <t>NF-e 00012345</t>
        </is>
      </c>
      <c r="J4" s="17" t="n">
        <v>1</v>
      </c>
      <c r="K4" s="17" t="inlineStr">
        <is>
          <t>—</t>
        </is>
      </c>
    </row>
    <row r="5" ht="22" customHeight="1">
      <c r="A5" s="16" t="n">
        <v>4</v>
      </c>
      <c r="B5" s="23" t="n">
        <v>46152</v>
      </c>
      <c r="C5" s="18" t="n">
        <v>5</v>
      </c>
      <c r="D5" s="28" t="inlineStr">
        <is>
          <t>Tinta Látex PVA Branco 18L</t>
        </is>
      </c>
      <c r="E5" s="18" t="n">
        <v>3</v>
      </c>
      <c r="F5" s="18" t="n">
        <v>8</v>
      </c>
      <c r="G5" s="18" t="n">
        <v>4</v>
      </c>
      <c r="H5" s="32" t="n">
        <v>30</v>
      </c>
      <c r="I5" s="18" t="inlineStr">
        <is>
          <t>NF-e 00098765</t>
        </is>
      </c>
      <c r="J5" s="18" t="n">
        <v>2</v>
      </c>
      <c r="K5" s="18" t="inlineStr">
        <is>
          <t>Pintura salas EMEF</t>
        </is>
      </c>
    </row>
    <row r="6" ht="22" customHeight="1">
      <c r="A6" s="16" t="n">
        <v>5</v>
      </c>
      <c r="B6" s="21" t="n">
        <v>46152</v>
      </c>
      <c r="C6" s="17" t="n">
        <v>7</v>
      </c>
      <c r="D6" s="28" t="inlineStr">
        <is>
          <t>Selador Acrílico 18L</t>
        </is>
      </c>
      <c r="E6" s="17" t="n">
        <v>3</v>
      </c>
      <c r="F6" s="17" t="n">
        <v>8</v>
      </c>
      <c r="G6" s="17" t="n">
        <v>4</v>
      </c>
      <c r="H6" s="22" t="n">
        <v>15</v>
      </c>
      <c r="I6" s="17" t="inlineStr">
        <is>
          <t>NF-e 00098765</t>
        </is>
      </c>
      <c r="J6" s="17" t="n">
        <v>2</v>
      </c>
      <c r="K6" s="17" t="inlineStr">
        <is>
          <t>—</t>
        </is>
      </c>
    </row>
    <row r="7" ht="22" customHeight="1">
      <c r="A7" s="16" t="n">
        <v>6</v>
      </c>
      <c r="B7" s="23" t="n">
        <v>46152</v>
      </c>
      <c r="C7" s="18" t="n">
        <v>8</v>
      </c>
      <c r="D7" s="28" t="inlineStr">
        <is>
          <t>Massa Corrida PVA 25kg</t>
        </is>
      </c>
      <c r="E7" s="18" t="n">
        <v>3</v>
      </c>
      <c r="F7" s="18" t="n">
        <v>8</v>
      </c>
      <c r="G7" s="18" t="n">
        <v>4</v>
      </c>
      <c r="H7" s="32" t="n">
        <v>20</v>
      </c>
      <c r="I7" s="18" t="inlineStr">
        <is>
          <t>NF-e 00098765</t>
        </is>
      </c>
      <c r="J7" s="18" t="n">
        <v>2</v>
      </c>
      <c r="K7" s="18" t="inlineStr">
        <is>
          <t>—</t>
        </is>
      </c>
    </row>
    <row r="8" ht="22" customHeight="1">
      <c r="A8" s="16" t="n">
        <v>7</v>
      </c>
      <c r="B8" s="21" t="n">
        <v>46174</v>
      </c>
      <c r="C8" s="17" t="n">
        <v>11</v>
      </c>
      <c r="D8" s="28" t="inlineStr">
        <is>
          <t>Fio Elétrico 2,5mm (rolo)</t>
        </is>
      </c>
      <c r="E8" s="17" t="n">
        <v>2</v>
      </c>
      <c r="F8" s="17" t="n">
        <v>5</v>
      </c>
      <c r="G8" s="17" t="n">
        <v>2</v>
      </c>
      <c r="H8" s="22" t="n">
        <v>10</v>
      </c>
      <c r="I8" s="17" t="inlineStr">
        <is>
          <t>NF-e 00054321</t>
        </is>
      </c>
      <c r="J8" s="17" t="n">
        <v>4</v>
      </c>
      <c r="K8" s="17" t="inlineStr">
        <is>
          <t>Manutenção elétrica UPA</t>
        </is>
      </c>
    </row>
    <row r="9" ht="22" customHeight="1">
      <c r="A9" s="16" t="n">
        <v>8</v>
      </c>
      <c r="B9" s="23" t="n">
        <v>46174</v>
      </c>
      <c r="C9" s="18" t="n">
        <v>12</v>
      </c>
      <c r="D9" s="28" t="inlineStr">
        <is>
          <t>Disjuntor 20A</t>
        </is>
      </c>
      <c r="E9" s="18" t="n">
        <v>2</v>
      </c>
      <c r="F9" s="18" t="n">
        <v>5</v>
      </c>
      <c r="G9" s="18" t="n">
        <v>2</v>
      </c>
      <c r="H9" s="32" t="n">
        <v>20</v>
      </c>
      <c r="I9" s="18" t="inlineStr">
        <is>
          <t>NF-e 00054321</t>
        </is>
      </c>
      <c r="J9" s="18" t="n">
        <v>4</v>
      </c>
      <c r="K9" s="18" t="inlineStr">
        <is>
          <t>—</t>
        </is>
      </c>
    </row>
    <row r="10" ht="22" customHeight="1">
      <c r="A10" s="16" t="n">
        <v>9</v>
      </c>
      <c r="B10" s="21" t="n">
        <v>46183</v>
      </c>
      <c r="C10" s="17" t="n">
        <v>1</v>
      </c>
      <c r="D10" s="28" t="inlineStr">
        <is>
          <t>Cimento CP-II 50kg</t>
        </is>
      </c>
      <c r="E10" s="17" t="n">
        <v>5</v>
      </c>
      <c r="F10" s="17" t="n">
        <v>13</v>
      </c>
      <c r="G10" s="17" t="n">
        <v>1</v>
      </c>
      <c r="H10" s="22" t="n">
        <v>60</v>
      </c>
      <c r="I10" s="17" t="inlineStr">
        <is>
          <t>NF-e 00067890</t>
        </is>
      </c>
      <c r="J10" s="17" t="n">
        <v>5</v>
      </c>
      <c r="K10" s="17" t="inlineStr">
        <is>
          <t>Muro perimetral CRAS</t>
        </is>
      </c>
    </row>
    <row r="11" ht="22" customHeight="1">
      <c r="A11" s="16" t="n">
        <v>10</v>
      </c>
      <c r="B11" s="23" t="n">
        <v>46183</v>
      </c>
      <c r="C11" s="18" t="n">
        <v>4</v>
      </c>
      <c r="D11" s="28" t="inlineStr">
        <is>
          <t>Tijolo Cerâmico 6 furos</t>
        </is>
      </c>
      <c r="E11" s="18" t="n">
        <v>5</v>
      </c>
      <c r="F11" s="18" t="n">
        <v>13</v>
      </c>
      <c r="G11" s="18" t="n">
        <v>1</v>
      </c>
      <c r="H11" s="32" t="n">
        <v>2000</v>
      </c>
      <c r="I11" s="18" t="inlineStr">
        <is>
          <t>NF-e 00067890</t>
        </is>
      </c>
      <c r="J11" s="18" t="n">
        <v>5</v>
      </c>
      <c r="K11" s="18" t="inlineStr">
        <is>
          <t>—</t>
        </is>
      </c>
    </row>
    <row r="12" ht="22" customHeight="1">
      <c r="A12" s="16" t="n">
        <v>11</v>
      </c>
      <c r="B12" s="21" t="n">
        <v>46188</v>
      </c>
      <c r="C12" s="17" t="n">
        <v>13</v>
      </c>
      <c r="D12" s="28" t="inlineStr">
        <is>
          <t>Cano PVC 100mm (6m)</t>
        </is>
      </c>
      <c r="E12" s="17" t="n">
        <v>5</v>
      </c>
      <c r="F12" s="17" t="n">
        <v>13</v>
      </c>
      <c r="G12" s="17" t="n">
        <v>3</v>
      </c>
      <c r="H12" s="22" t="n">
        <v>30</v>
      </c>
      <c r="I12" s="17" t="inlineStr">
        <is>
          <t>NF-e 00011222</t>
        </is>
      </c>
      <c r="J12" s="17" t="n">
        <v>5</v>
      </c>
      <c r="K12" s="17" t="inlineStr">
        <is>
          <t>—</t>
        </is>
      </c>
    </row>
    <row r="13" ht="22" customHeight="1">
      <c r="A13" s="16" t="n">
        <v>12</v>
      </c>
      <c r="B13" s="23" t="n">
        <v>46204</v>
      </c>
      <c r="C13" s="18" t="n">
        <v>5</v>
      </c>
      <c r="D13" s="28" t="inlineStr">
        <is>
          <t>Tinta Látex PVA Branco 18L</t>
        </is>
      </c>
      <c r="E13" s="18" t="n">
        <v>6</v>
      </c>
      <c r="F13" s="18" t="n">
        <v>15</v>
      </c>
      <c r="G13" s="18" t="n">
        <v>4</v>
      </c>
      <c r="H13" s="32" t="n">
        <v>20</v>
      </c>
      <c r="I13" s="18" t="inlineStr">
        <is>
          <t>NF-e 00033444</t>
        </is>
      </c>
      <c r="J13" s="18" t="n">
        <v>8</v>
      </c>
      <c r="K13" s="18" t="inlineStr">
        <is>
          <t>Ginásio</t>
        </is>
      </c>
    </row>
    <row r="14" ht="22" customHeight="1">
      <c r="A14" s="16" t="n">
        <v>13</v>
      </c>
      <c r="B14" s="21" t="n">
        <v>46204</v>
      </c>
      <c r="C14" s="17" t="n">
        <v>6</v>
      </c>
      <c r="D14" s="28" t="inlineStr">
        <is>
          <t>Tinta Acrílica Premium 18L</t>
        </is>
      </c>
      <c r="E14" s="17" t="n">
        <v>6</v>
      </c>
      <c r="F14" s="17" t="n">
        <v>15</v>
      </c>
      <c r="G14" s="17" t="n">
        <v>4</v>
      </c>
      <c r="H14" s="22" t="n">
        <v>15</v>
      </c>
      <c r="I14" s="17" t="inlineStr">
        <is>
          <t>NF-e 00033444</t>
        </is>
      </c>
      <c r="J14" s="17" t="n">
        <v>8</v>
      </c>
      <c r="K14" s="17" t="inlineStr">
        <is>
          <t>Fachada externa</t>
        </is>
      </c>
    </row>
    <row r="15" ht="22" customHeight="1">
      <c r="A15" s="16" t="n">
        <v>14</v>
      </c>
      <c r="B15" s="23" t="n">
        <v>46208</v>
      </c>
      <c r="C15" s="18" t="n">
        <v>1</v>
      </c>
      <c r="D15" s="28" t="inlineStr">
        <is>
          <t>Cimento CP-II 50kg</t>
        </is>
      </c>
      <c r="E15" s="18" t="n">
        <v>4</v>
      </c>
      <c r="F15" s="18" t="n">
        <v>11</v>
      </c>
      <c r="G15" s="18" t="n">
        <v>1</v>
      </c>
      <c r="H15" s="32" t="n">
        <v>50</v>
      </c>
      <c r="I15" s="18" t="inlineStr">
        <is>
          <t>NF-e 00055678</t>
        </is>
      </c>
      <c r="J15" s="18" t="n">
        <v>7</v>
      </c>
      <c r="K15" s="18" t="inlineStr">
        <is>
          <t>Calçamento entrada</t>
        </is>
      </c>
    </row>
    <row r="16" ht="22" customHeight="1">
      <c r="A16" s="16" t="n">
        <v>15</v>
      </c>
      <c r="B16" s="21" t="n">
        <v>46208</v>
      </c>
      <c r="C16" s="17" t="n">
        <v>3</v>
      </c>
      <c r="D16" s="28" t="inlineStr">
        <is>
          <t>Brita 1 (m³)</t>
        </is>
      </c>
      <c r="E16" s="17" t="n">
        <v>4</v>
      </c>
      <c r="F16" s="17" t="n">
        <v>11</v>
      </c>
      <c r="G16" s="17" t="n">
        <v>1</v>
      </c>
      <c r="H16" s="22" t="n">
        <v>8</v>
      </c>
      <c r="I16" s="17" t="inlineStr">
        <is>
          <t>NF-e 00055678</t>
        </is>
      </c>
      <c r="J16" s="17" t="n">
        <v>7</v>
      </c>
      <c r="K16" s="17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O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3" customWidth="1" min="4" max="4"/>
    <col width="28" customWidth="1" min="5" max="5"/>
    <col width="12" customWidth="1" min="6" max="6"/>
    <col width="18" customWidth="1" min="7" max="7"/>
    <col width="18" customWidth="1" min="8" max="8"/>
    <col width="20" customWidth="1" min="9" max="9"/>
    <col width="10" customWidth="1" min="10" max="10"/>
    <col width="20" customWidth="1" min="11" max="11"/>
    <col width="20" customWidth="1" min="12" max="12"/>
    <col width="18" customWidth="1" min="13" max="13"/>
    <col width="24" customWidth="1" min="14" max="14"/>
    <col width="36" customWidth="1" min="15" max="15"/>
  </cols>
  <sheetData>
    <row r="1" ht="28" customHeight="1">
      <c r="A1" s="33" t="inlineStr">
        <is>
          <t>ID_Movimentacao</t>
        </is>
      </c>
      <c r="B1" s="33" t="inlineStr">
        <is>
          <t>Data_Movimentacao</t>
        </is>
      </c>
      <c r="C1" s="33" t="inlineStr">
        <is>
          <t>Tipo_Movimentacao</t>
        </is>
      </c>
      <c r="D1" s="33" t="inlineStr">
        <is>
          <t>ID_Material</t>
        </is>
      </c>
      <c r="E1" s="34" t="inlineStr">
        <is>
          <t>Nome_Material (Referência)</t>
        </is>
      </c>
      <c r="F1" s="33" t="inlineStr">
        <is>
          <t>Quantidade</t>
        </is>
      </c>
      <c r="G1" s="33" t="inlineStr">
        <is>
          <t>ID_Unidade_Origem</t>
        </is>
      </c>
      <c r="H1" s="33" t="inlineStr">
        <is>
          <t>ID_Unidade_Destino</t>
        </is>
      </c>
      <c r="I1" s="33" t="inlineStr">
        <is>
          <t>ID_Sec_Proprietaria</t>
        </is>
      </c>
      <c r="J1" s="33" t="inlineStr">
        <is>
          <t>ID_Obra</t>
        </is>
      </c>
      <c r="K1" s="33" t="inlineStr">
        <is>
          <t>Data_Prev_Devolucao</t>
        </is>
      </c>
      <c r="L1" s="33" t="inlineStr">
        <is>
          <t>Data_Real_Devolucao</t>
        </is>
      </c>
      <c r="M1" s="33" t="inlineStr">
        <is>
          <t>Status_Devolucao</t>
        </is>
      </c>
      <c r="N1" s="33" t="inlineStr">
        <is>
          <t>Responsavel</t>
        </is>
      </c>
      <c r="O1" s="33" t="inlineStr">
        <is>
          <t>Observacoes</t>
        </is>
      </c>
    </row>
    <row r="2" ht="22" customHeight="1">
      <c r="A2" s="35" t="n">
        <v>1</v>
      </c>
      <c r="B2" s="21" t="n">
        <v>46157</v>
      </c>
      <c r="C2" s="22" t="inlineStr">
        <is>
          <t>Consumo em Obra</t>
        </is>
      </c>
      <c r="D2" s="17" t="n">
        <v>1</v>
      </c>
      <c r="E2" s="28" t="inlineStr">
        <is>
          <t>Cimento CP-II 50kg</t>
        </is>
      </c>
      <c r="F2" s="17" t="n">
        <v>20</v>
      </c>
      <c r="G2" s="17" t="n">
        <v>4</v>
      </c>
      <c r="H2" s="17" t="n">
        <v>4</v>
      </c>
      <c r="I2" s="17" t="n">
        <v>2</v>
      </c>
      <c r="J2" s="17" t="n">
        <v>1</v>
      </c>
      <c r="K2" s="17" t="n"/>
      <c r="L2" s="17" t="n"/>
      <c r="M2" s="36" t="inlineStr">
        <is>
          <t>—</t>
        </is>
      </c>
      <c r="N2" s="17" t="inlineStr">
        <is>
          <t>Carlos Mendes</t>
        </is>
      </c>
      <c r="O2" s="17" t="inlineStr">
        <is>
          <t>1ª fase — base</t>
        </is>
      </c>
    </row>
    <row r="3" ht="22" customHeight="1">
      <c r="A3" s="35" t="n">
        <v>2</v>
      </c>
      <c r="B3" s="21" t="n">
        <v>46162</v>
      </c>
      <c r="C3" s="22" t="inlineStr">
        <is>
          <t>Consumo em Obra</t>
        </is>
      </c>
      <c r="D3" s="17" t="n">
        <v>1</v>
      </c>
      <c r="E3" s="28" t="inlineStr">
        <is>
          <t>Cimento CP-II 50kg</t>
        </is>
      </c>
      <c r="F3" s="17" t="n">
        <v>15</v>
      </c>
      <c r="G3" s="17" t="n">
        <v>4</v>
      </c>
      <c r="H3" s="17" t="n">
        <v>4</v>
      </c>
      <c r="I3" s="17" t="n">
        <v>2</v>
      </c>
      <c r="J3" s="17" t="n">
        <v>1</v>
      </c>
      <c r="K3" s="17" t="n"/>
      <c r="L3" s="17" t="n"/>
      <c r="M3" s="36" t="inlineStr">
        <is>
          <t>—</t>
        </is>
      </c>
      <c r="N3" s="17" t="inlineStr">
        <is>
          <t>Carlos Mendes</t>
        </is>
      </c>
      <c r="O3" s="17" t="inlineStr">
        <is>
          <t>2ª fase</t>
        </is>
      </c>
    </row>
    <row r="4" ht="22" customHeight="1">
      <c r="A4" s="35" t="n">
        <v>3</v>
      </c>
      <c r="B4" s="21" t="n">
        <v>46167</v>
      </c>
      <c r="C4" s="22" t="inlineStr">
        <is>
          <t>Consumo em Obra</t>
        </is>
      </c>
      <c r="D4" s="17" t="n">
        <v>2</v>
      </c>
      <c r="E4" s="28" t="inlineStr">
        <is>
          <t>Areia Média (m³)</t>
        </is>
      </c>
      <c r="F4" s="17" t="n">
        <v>4</v>
      </c>
      <c r="G4" s="17" t="n">
        <v>4</v>
      </c>
      <c r="H4" s="17" t="n">
        <v>4</v>
      </c>
      <c r="I4" s="17" t="n">
        <v>2</v>
      </c>
      <c r="J4" s="17" t="n">
        <v>1</v>
      </c>
      <c r="K4" s="17" t="n"/>
      <c r="L4" s="17" t="n"/>
      <c r="M4" s="36" t="inlineStr">
        <is>
          <t>—</t>
        </is>
      </c>
      <c r="N4" s="17" t="inlineStr">
        <is>
          <t>Carlos Mendes</t>
        </is>
      </c>
      <c r="O4" s="17" t="inlineStr">
        <is>
          <t>—</t>
        </is>
      </c>
    </row>
    <row r="5" ht="22" customHeight="1">
      <c r="A5" s="35" t="n">
        <v>4</v>
      </c>
      <c r="B5" s="21" t="n">
        <v>46178</v>
      </c>
      <c r="C5" s="22" t="inlineStr">
        <is>
          <t>Consumo em Obra</t>
        </is>
      </c>
      <c r="D5" s="17" t="n">
        <v>5</v>
      </c>
      <c r="E5" s="28" t="inlineStr">
        <is>
          <t>Tinta Látex PVA Branco 18L</t>
        </is>
      </c>
      <c r="F5" s="17" t="n">
        <v>8</v>
      </c>
      <c r="G5" s="17" t="n">
        <v>8</v>
      </c>
      <c r="H5" s="17" t="n">
        <v>8</v>
      </c>
      <c r="I5" s="17" t="n">
        <v>3</v>
      </c>
      <c r="J5" s="17" t="n">
        <v>2</v>
      </c>
      <c r="K5" s="17" t="n"/>
      <c r="L5" s="17" t="n"/>
      <c r="M5" s="36" t="inlineStr">
        <is>
          <t>—</t>
        </is>
      </c>
      <c r="N5" s="17" t="inlineStr">
        <is>
          <t>Sônia Araújo</t>
        </is>
      </c>
      <c r="O5" s="17" t="inlineStr">
        <is>
          <t>1ª demão</t>
        </is>
      </c>
    </row>
    <row r="6" ht="22" customHeight="1">
      <c r="A6" s="35" t="n">
        <v>5</v>
      </c>
      <c r="B6" s="21" t="n">
        <v>46185</v>
      </c>
      <c r="C6" s="22" t="inlineStr">
        <is>
          <t>Consumo em Obra</t>
        </is>
      </c>
      <c r="D6" s="17" t="n">
        <v>5</v>
      </c>
      <c r="E6" s="28" t="inlineStr">
        <is>
          <t>Tinta Látex PVA Branco 18L</t>
        </is>
      </c>
      <c r="F6" s="17" t="n">
        <v>7</v>
      </c>
      <c r="G6" s="17" t="n">
        <v>8</v>
      </c>
      <c r="H6" s="17" t="n">
        <v>8</v>
      </c>
      <c r="I6" s="17" t="n">
        <v>3</v>
      </c>
      <c r="J6" s="17" t="n">
        <v>2</v>
      </c>
      <c r="K6" s="17" t="n"/>
      <c r="L6" s="17" t="n"/>
      <c r="M6" s="36" t="inlineStr">
        <is>
          <t>—</t>
        </is>
      </c>
      <c r="N6" s="17" t="inlineStr">
        <is>
          <t>Sônia Araújo</t>
        </is>
      </c>
      <c r="O6" s="17" t="inlineStr">
        <is>
          <t>2ª demão</t>
        </is>
      </c>
    </row>
    <row r="7" ht="22" customHeight="1">
      <c r="A7" s="35" t="n">
        <v>6</v>
      </c>
      <c r="B7" s="21" t="n">
        <v>46193</v>
      </c>
      <c r="C7" s="22" t="inlineStr">
        <is>
          <t>Consumo em Obra</t>
        </is>
      </c>
      <c r="D7" s="17" t="n">
        <v>7</v>
      </c>
      <c r="E7" s="28" t="inlineStr">
        <is>
          <t>Selador Acrílico 18L</t>
        </is>
      </c>
      <c r="F7" s="17" t="n">
        <v>6</v>
      </c>
      <c r="G7" s="17" t="n">
        <v>8</v>
      </c>
      <c r="H7" s="17" t="n">
        <v>8</v>
      </c>
      <c r="I7" s="17" t="n">
        <v>3</v>
      </c>
      <c r="J7" s="17" t="n">
        <v>2</v>
      </c>
      <c r="K7" s="17" t="n"/>
      <c r="L7" s="17" t="n"/>
      <c r="M7" s="36" t="inlineStr">
        <is>
          <t>—</t>
        </is>
      </c>
      <c r="N7" s="17" t="inlineStr">
        <is>
          <t>Sônia Araújo</t>
        </is>
      </c>
      <c r="O7" s="17" t="inlineStr">
        <is>
          <t>Preparo de superfície</t>
        </is>
      </c>
    </row>
    <row r="8" ht="22" customHeight="1">
      <c r="A8" s="35" t="n">
        <v>7</v>
      </c>
      <c r="B8" s="37" t="n">
        <v>46188</v>
      </c>
      <c r="C8" s="29" t="inlineStr">
        <is>
          <t>Empréstimo</t>
        </is>
      </c>
      <c r="D8" s="38" t="n">
        <v>1</v>
      </c>
      <c r="E8" s="28" t="inlineStr">
        <is>
          <t>Cimento CP-II 50kg</t>
        </is>
      </c>
      <c r="F8" s="38" t="n">
        <v>25</v>
      </c>
      <c r="G8" s="38" t="n">
        <v>4</v>
      </c>
      <c r="H8" s="38" t="n">
        <v>13</v>
      </c>
      <c r="I8" s="38" t="n">
        <v>2</v>
      </c>
      <c r="J8" s="38" t="n">
        <v>5</v>
      </c>
      <c r="K8" s="37" t="n">
        <v>46218</v>
      </c>
      <c r="L8" s="38" t="n"/>
      <c r="M8" s="30" t="inlineStr">
        <is>
          <t>Em Atraso</t>
        </is>
      </c>
      <c r="N8" s="38" t="inlineStr">
        <is>
          <t>Maria Oliveira</t>
        </is>
      </c>
      <c r="O8" s="38" t="inlineStr">
        <is>
          <t>Para obra muro CRAS</t>
        </is>
      </c>
    </row>
    <row r="9" ht="22" customHeight="1">
      <c r="A9" s="35" t="n">
        <v>8</v>
      </c>
      <c r="B9" s="37" t="n">
        <v>46188</v>
      </c>
      <c r="C9" s="29" t="inlineStr">
        <is>
          <t>Empréstimo</t>
        </is>
      </c>
      <c r="D9" s="38" t="n">
        <v>9</v>
      </c>
      <c r="E9" s="28" t="inlineStr">
        <is>
          <t>Argamassa AC-II 20kg</t>
        </is>
      </c>
      <c r="F9" s="38" t="n">
        <v>30</v>
      </c>
      <c r="G9" s="38" t="n">
        <v>4</v>
      </c>
      <c r="H9" s="38" t="n">
        <v>13</v>
      </c>
      <c r="I9" s="38" t="n">
        <v>2</v>
      </c>
      <c r="J9" s="38" t="n">
        <v>5</v>
      </c>
      <c r="K9" s="37" t="n">
        <v>46218</v>
      </c>
      <c r="L9" s="38" t="n"/>
      <c r="M9" s="30" t="inlineStr">
        <is>
          <t>Em Atraso</t>
        </is>
      </c>
      <c r="N9" s="38" t="inlineStr">
        <is>
          <t>Maria Oliveira</t>
        </is>
      </c>
      <c r="O9" s="38" t="inlineStr">
        <is>
          <t>—</t>
        </is>
      </c>
    </row>
    <row r="10" ht="22" customHeight="1">
      <c r="A10" s="35" t="n">
        <v>9</v>
      </c>
      <c r="B10" s="37" t="n">
        <v>46205</v>
      </c>
      <c r="C10" s="29" t="inlineStr">
        <is>
          <t>Empréstimo</t>
        </is>
      </c>
      <c r="D10" s="38" t="n">
        <v>11</v>
      </c>
      <c r="E10" s="28" t="inlineStr">
        <is>
          <t>Fio Elétrico 2,5mm (rolo)</t>
        </is>
      </c>
      <c r="F10" s="38" t="n">
        <v>3</v>
      </c>
      <c r="G10" s="38" t="n">
        <v>5</v>
      </c>
      <c r="H10" s="38" t="n">
        <v>3</v>
      </c>
      <c r="I10" s="38" t="n">
        <v>2</v>
      </c>
      <c r="J10" s="38" t="n">
        <v>4</v>
      </c>
      <c r="K10" s="37" t="n">
        <v>46223</v>
      </c>
      <c r="L10" s="38" t="n"/>
      <c r="M10" s="29" t="inlineStr">
        <is>
          <t>Pendente</t>
        </is>
      </c>
      <c r="N10" s="38" t="inlineStr">
        <is>
          <t>José Lima</t>
        </is>
      </c>
      <c r="O10" s="38" t="inlineStr">
        <is>
          <t>Sobra obra elétrica</t>
        </is>
      </c>
    </row>
    <row r="11" ht="22" customHeight="1">
      <c r="A11" s="35" t="n">
        <v>10</v>
      </c>
      <c r="B11" s="37" t="n">
        <v>46208</v>
      </c>
      <c r="C11" s="29" t="inlineStr">
        <is>
          <t>Empréstimo</t>
        </is>
      </c>
      <c r="D11" s="38" t="n">
        <v>5</v>
      </c>
      <c r="E11" s="28" t="inlineStr">
        <is>
          <t>Tinta Látex PVA Branco 18L</t>
        </is>
      </c>
      <c r="F11" s="38" t="n">
        <v>5</v>
      </c>
      <c r="G11" s="38" t="n">
        <v>8</v>
      </c>
      <c r="H11" s="38" t="n">
        <v>15</v>
      </c>
      <c r="I11" s="38" t="n">
        <v>3</v>
      </c>
      <c r="J11" s="38" t="n">
        <v>8</v>
      </c>
      <c r="K11" s="37" t="n">
        <v>46228</v>
      </c>
      <c r="L11" s="38" t="n"/>
      <c r="M11" s="29" t="inlineStr">
        <is>
          <t>Pendente</t>
        </is>
      </c>
      <c r="N11" s="38" t="inlineStr">
        <is>
          <t>Sônia Araújo</t>
        </is>
      </c>
      <c r="O11" s="38" t="inlineStr">
        <is>
          <t>Ajuda obra ginásio</t>
        </is>
      </c>
    </row>
    <row r="12" ht="22" customHeight="1">
      <c r="A12" s="35" t="n">
        <v>11</v>
      </c>
      <c r="B12" s="39" t="n">
        <v>46203</v>
      </c>
      <c r="C12" s="24" t="inlineStr">
        <is>
          <t>Devolução</t>
        </is>
      </c>
      <c r="D12" s="40" t="n">
        <v>12</v>
      </c>
      <c r="E12" s="28" t="inlineStr">
        <is>
          <t>Disjuntor 20A</t>
        </is>
      </c>
      <c r="F12" s="40" t="n">
        <v>5</v>
      </c>
      <c r="G12" s="40" t="n">
        <v>11</v>
      </c>
      <c r="H12" s="40" t="n">
        <v>5</v>
      </c>
      <c r="I12" s="40" t="n">
        <v>2</v>
      </c>
      <c r="J12" s="40" t="n"/>
      <c r="K12" s="40" t="n"/>
      <c r="L12" s="39" t="n">
        <v>46203</v>
      </c>
      <c r="M12" s="24" t="inlineStr">
        <is>
          <t>Devolvido</t>
        </is>
      </c>
      <c r="N12" s="40" t="inlineStr">
        <is>
          <t>Gilberto Alves</t>
        </is>
      </c>
      <c r="O12" s="40" t="inlineStr">
        <is>
          <t>Sobra da SEMOB</t>
        </is>
      </c>
    </row>
    <row r="13" ht="22" customHeight="1">
      <c r="A13" s="35" t="n">
        <v>12</v>
      </c>
      <c r="B13" s="41" t="n">
        <v>46213</v>
      </c>
      <c r="C13" s="42" t="inlineStr">
        <is>
          <t>Transferência</t>
        </is>
      </c>
      <c r="D13" s="43" t="n">
        <v>10</v>
      </c>
      <c r="E13" s="28" t="inlineStr">
        <is>
          <t>Cal Hidratado 20kg</t>
        </is>
      </c>
      <c r="F13" s="43" t="n">
        <v>10</v>
      </c>
      <c r="G13" s="43" t="n">
        <v>8</v>
      </c>
      <c r="H13" s="43" t="n">
        <v>13</v>
      </c>
      <c r="I13" s="43" t="n">
        <v>3</v>
      </c>
      <c r="J13" s="43" t="n"/>
      <c r="K13" s="43" t="n"/>
      <c r="L13" s="43" t="n"/>
      <c r="M13" s="36" t="inlineStr">
        <is>
          <t>—</t>
        </is>
      </c>
      <c r="N13" s="43" t="inlineStr">
        <is>
          <t>Carlos Souza</t>
        </is>
      </c>
      <c r="O13" s="43" t="inlineStr">
        <is>
          <t>Doação definitiva SEMED→SEMAS</t>
        </is>
      </c>
    </row>
  </sheetData>
  <dataValidations count="2">
    <dataValidation sqref="C2 C3 C4 C5 C6 C7 C8 C9 C10 C11 C12 C13" showDropDown="0" showInputMessage="0" showErrorMessage="0" allowBlank="0" type="list">
      <formula1>"Consumo em Obra,Empréstimo,Devolução,Transferência"</formula1>
    </dataValidation>
    <dataValidation sqref="M2 M3 M4 M5 M6 M7 M8 M9 M10 M11 M12 M13" showDropDown="0" showInputMessage="0" showErrorMessage="0" allowBlank="0" type="list">
      <formula1>"Pendente,Devolvido,Em Atraso,—"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FF7F00"/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6" customWidth="1" min="4" max="4"/>
    <col width="20" customWidth="1" min="5" max="5"/>
    <col width="20" customWidth="1" min="6" max="6"/>
    <col width="18" customWidth="1" min="7" max="7"/>
    <col width="18" customWidth="1" min="8" max="8"/>
    <col width="10" customWidth="1" min="9" max="9"/>
    <col width="20" customWidth="1" min="10" max="10"/>
    <col width="20" customWidth="1" min="11" max="11"/>
    <col width="18" customWidth="1" min="12" max="12"/>
    <col width="24" customWidth="1" min="13" max="13"/>
    <col width="36" customWidth="1" min="14" max="14"/>
  </cols>
  <sheetData>
    <row r="1" ht="28" customHeight="1">
      <c r="A1" s="44" t="inlineStr">
        <is>
          <t>ID_Mov_Pat</t>
        </is>
      </c>
      <c r="B1" s="44" t="inlineStr">
        <is>
          <t>Data_Movimentacao</t>
        </is>
      </c>
      <c r="C1" s="44" t="inlineStr">
        <is>
          <t>Tipo_Movimentacao</t>
        </is>
      </c>
      <c r="D1" s="44" t="inlineStr">
        <is>
          <t>ID_Patrimônio</t>
        </is>
      </c>
      <c r="E1" s="45" t="inlineStr">
        <is>
          <t>Nº Patrimônio (Referência)</t>
        </is>
      </c>
      <c r="F1" s="44" t="inlineStr">
        <is>
          <t>ID_Sec_Proprietaria</t>
        </is>
      </c>
      <c r="G1" s="44" t="inlineStr">
        <is>
          <t>ID_Unidade_Origem</t>
        </is>
      </c>
      <c r="H1" s="44" t="inlineStr">
        <is>
          <t>ID_Unidade_Destino</t>
        </is>
      </c>
      <c r="I1" s="44" t="inlineStr">
        <is>
          <t>ID_Obra</t>
        </is>
      </c>
      <c r="J1" s="44" t="inlineStr">
        <is>
          <t>Data_Prev_Devolucao</t>
        </is>
      </c>
      <c r="K1" s="44" t="inlineStr">
        <is>
          <t>Data_Real_Devolucao</t>
        </is>
      </c>
      <c r="L1" s="44" t="inlineStr">
        <is>
          <t>Status_Devolucao</t>
        </is>
      </c>
      <c r="M1" s="44" t="inlineStr">
        <is>
          <t>Responsavel</t>
        </is>
      </c>
      <c r="N1" s="44" t="inlineStr">
        <is>
          <t>Observacoes</t>
        </is>
      </c>
    </row>
    <row r="2" ht="22" customHeight="1">
      <c r="A2" s="46" t="n">
        <v>1</v>
      </c>
      <c r="B2" s="37" t="n">
        <v>46154</v>
      </c>
      <c r="C2" s="29" t="inlineStr">
        <is>
          <t>Empréstimo</t>
        </is>
      </c>
      <c r="D2" s="38" t="n">
        <v>3</v>
      </c>
      <c r="E2" s="47" t="inlineStr">
        <is>
          <t>SPP-2024-0001</t>
        </is>
      </c>
      <c r="F2" s="38" t="n">
        <v>1</v>
      </c>
      <c r="G2" s="38" t="n">
        <v>3</v>
      </c>
      <c r="H2" s="38" t="n">
        <v>4</v>
      </c>
      <c r="I2" s="38" t="n">
        <v>1</v>
      </c>
      <c r="J2" s="37" t="n">
        <v>46185</v>
      </c>
      <c r="K2" s="38" t="n"/>
      <c r="L2" s="30" t="inlineStr">
        <is>
          <t>Em Atraso</t>
        </is>
      </c>
      <c r="M2" s="38" t="inlineStr">
        <is>
          <t>Carlos Mendes</t>
        </is>
      </c>
      <c r="N2" s="38" t="inlineStr">
        <is>
          <t>Betoneira p/ obra telhado SMS</t>
        </is>
      </c>
    </row>
    <row r="3" ht="22" customHeight="1">
      <c r="A3" s="46" t="n">
        <v>2</v>
      </c>
      <c r="B3" s="37" t="n">
        <v>46155</v>
      </c>
      <c r="C3" s="29" t="inlineStr">
        <is>
          <t>Empréstimo</t>
        </is>
      </c>
      <c r="D3" s="38" t="n">
        <v>6</v>
      </c>
      <c r="E3" s="47" t="inlineStr">
        <is>
          <t>SPP-2021-0001</t>
        </is>
      </c>
      <c r="F3" s="38" t="n">
        <v>1</v>
      </c>
      <c r="G3" s="38" t="n">
        <v>3</v>
      </c>
      <c r="H3" s="38" t="n">
        <v>8</v>
      </c>
      <c r="I3" s="38" t="n">
        <v>2</v>
      </c>
      <c r="J3" s="37" t="n">
        <v>46203</v>
      </c>
      <c r="K3" s="38" t="n"/>
      <c r="L3" s="30" t="inlineStr">
        <is>
          <t>Em Atraso</t>
        </is>
      </c>
      <c r="M3" s="38" t="inlineStr">
        <is>
          <t>Sônia Araújo</t>
        </is>
      </c>
      <c r="N3" s="38" t="inlineStr">
        <is>
          <t>Escada p/ pintura EMEF</t>
        </is>
      </c>
    </row>
    <row r="4" ht="22" customHeight="1">
      <c r="A4" s="46" t="n">
        <v>3</v>
      </c>
      <c r="B4" s="37" t="n">
        <v>46183</v>
      </c>
      <c r="C4" s="29" t="inlineStr">
        <is>
          <t>Empréstimo</t>
        </is>
      </c>
      <c r="D4" s="38" t="n">
        <v>4</v>
      </c>
      <c r="E4" s="47" t="inlineStr">
        <is>
          <t>SPP-2022-0001</t>
        </is>
      </c>
      <c r="F4" s="38" t="n">
        <v>1</v>
      </c>
      <c r="G4" s="38" t="n">
        <v>3</v>
      </c>
      <c r="H4" s="38" t="n">
        <v>13</v>
      </c>
      <c r="I4" s="38" t="n">
        <v>5</v>
      </c>
      <c r="J4" s="37" t="n">
        <v>46234</v>
      </c>
      <c r="K4" s="38" t="n"/>
      <c r="L4" s="29" t="inlineStr">
        <is>
          <t>Pendente</t>
        </is>
      </c>
      <c r="M4" s="38" t="inlineStr">
        <is>
          <t>Maria Oliveira</t>
        </is>
      </c>
      <c r="N4" s="38" t="inlineStr">
        <is>
          <t>Andaime muro CRAS</t>
        </is>
      </c>
    </row>
    <row r="5" ht="22" customHeight="1">
      <c r="A5" s="46" t="n">
        <v>4</v>
      </c>
      <c r="B5" s="37" t="n">
        <v>46208</v>
      </c>
      <c r="C5" s="29" t="inlineStr">
        <is>
          <t>Empréstimo</t>
        </is>
      </c>
      <c r="D5" s="38" t="n">
        <v>8</v>
      </c>
      <c r="E5" s="47" t="inlineStr">
        <is>
          <t>SPP-2024-0002</t>
        </is>
      </c>
      <c r="F5" s="38" t="n">
        <v>1</v>
      </c>
      <c r="G5" s="38" t="n">
        <v>3</v>
      </c>
      <c r="H5" s="38" t="n">
        <v>11</v>
      </c>
      <c r="I5" s="38" t="n">
        <v>7</v>
      </c>
      <c r="J5" s="37" t="n">
        <v>46233</v>
      </c>
      <c r="K5" s="38" t="n"/>
      <c r="L5" s="29" t="inlineStr">
        <is>
          <t>Pendente</t>
        </is>
      </c>
      <c r="M5" s="38" t="inlineStr">
        <is>
          <t>Tec. Silveira</t>
        </is>
      </c>
      <c r="N5" s="38" t="inlineStr">
        <is>
          <t>Compactador calçamento</t>
        </is>
      </c>
    </row>
    <row r="6" ht="22" customHeight="1">
      <c r="A6" s="46" t="n">
        <v>5</v>
      </c>
      <c r="B6" s="39" t="n">
        <v>46201</v>
      </c>
      <c r="C6" s="24" t="inlineStr">
        <is>
          <t>Devolução</t>
        </is>
      </c>
      <c r="D6" s="40" t="n">
        <v>9</v>
      </c>
      <c r="E6" s="47" t="inlineStr">
        <is>
          <t>SEMOB-2023-001</t>
        </is>
      </c>
      <c r="F6" s="40" t="n">
        <v>4</v>
      </c>
      <c r="G6" s="40" t="n">
        <v>11</v>
      </c>
      <c r="H6" s="40" t="n">
        <v>3</v>
      </c>
      <c r="I6" s="40" t="n"/>
      <c r="J6" s="40" t="n"/>
      <c r="K6" s="39" t="n">
        <v>46201</v>
      </c>
      <c r="L6" s="24" t="inlineStr">
        <is>
          <t>Devolvido</t>
        </is>
      </c>
      <c r="M6" s="40" t="inlineStr">
        <is>
          <t>Gilberto Alves</t>
        </is>
      </c>
      <c r="N6" s="40" t="inlineStr">
        <is>
          <t>Serra circular devolvida</t>
        </is>
      </c>
    </row>
    <row r="7" ht="22" customHeight="1">
      <c r="A7" s="46" t="n">
        <v>6</v>
      </c>
      <c r="B7" s="37" t="n">
        <v>46152</v>
      </c>
      <c r="C7" s="29" t="inlineStr">
        <is>
          <t>Empréstimo</t>
        </is>
      </c>
      <c r="D7" s="38" t="n">
        <v>1</v>
      </c>
      <c r="E7" s="47" t="inlineStr">
        <is>
          <t>SPP-2023-0001</t>
        </is>
      </c>
      <c r="F7" s="38" t="n">
        <v>1</v>
      </c>
      <c r="G7" s="38" t="n">
        <v>3</v>
      </c>
      <c r="H7" s="38" t="n">
        <v>4</v>
      </c>
      <c r="I7" s="38" t="n">
        <v>1</v>
      </c>
      <c r="J7" s="37" t="n">
        <v>46264</v>
      </c>
      <c r="K7" s="38" t="n"/>
      <c r="L7" s="29" t="inlineStr">
        <is>
          <t>Pendente</t>
        </is>
      </c>
      <c r="M7" s="38" t="inlineStr">
        <is>
          <t>Carlos Mendes</t>
        </is>
      </c>
      <c r="N7" s="38" t="inlineStr">
        <is>
          <t>Betoneira para obra telhado</t>
        </is>
      </c>
    </row>
    <row r="8" ht="22" customHeight="1">
      <c r="A8" s="46" t="n">
        <v>7</v>
      </c>
      <c r="B8" s="37" t="n">
        <v>46152</v>
      </c>
      <c r="C8" s="29" t="inlineStr">
        <is>
          <t>Empréstimo</t>
        </is>
      </c>
      <c r="D8" s="38" t="n">
        <v>2</v>
      </c>
      <c r="E8" s="47" t="inlineStr">
        <is>
          <t>SPP-2023-0002</t>
        </is>
      </c>
      <c r="F8" s="38" t="n">
        <v>1</v>
      </c>
      <c r="G8" s="38" t="n">
        <v>3</v>
      </c>
      <c r="H8" s="38" t="n">
        <v>13</v>
      </c>
      <c r="I8" s="38" t="n">
        <v>5</v>
      </c>
      <c r="J8" s="37" t="n">
        <v>46264</v>
      </c>
      <c r="K8" s="38" t="n"/>
      <c r="L8" s="29" t="inlineStr">
        <is>
          <t>Pendente</t>
        </is>
      </c>
      <c r="M8" s="38" t="inlineStr">
        <is>
          <t>Carlos Mendes</t>
        </is>
      </c>
      <c r="N8" s="38" t="inlineStr">
        <is>
          <t>2ª betoneira — obra muro</t>
        </is>
      </c>
    </row>
    <row r="9" ht="22" customHeight="1">
      <c r="A9" s="46" t="n">
        <v>8</v>
      </c>
      <c r="B9" s="48" t="n">
        <v>46204</v>
      </c>
      <c r="C9" s="30" t="inlineStr">
        <is>
          <t>Manutenção</t>
        </is>
      </c>
      <c r="D9" s="49" t="n">
        <v>7</v>
      </c>
      <c r="E9" s="47" t="inlineStr">
        <is>
          <t>SPP-2021-0002</t>
        </is>
      </c>
      <c r="F9" s="49" t="n">
        <v>1</v>
      </c>
      <c r="G9" s="49" t="n">
        <v>3</v>
      </c>
      <c r="H9" s="49" t="n">
        <v>3</v>
      </c>
      <c r="I9" s="49" t="n"/>
      <c r="J9" s="49" t="n"/>
      <c r="K9" s="49" t="n"/>
      <c r="L9" s="36" t="inlineStr">
        <is>
          <t>—</t>
        </is>
      </c>
      <c r="M9" s="49" t="inlineStr">
        <is>
          <t>Marcos Ferreira</t>
        </is>
      </c>
      <c r="N9" s="49" t="inlineStr">
        <is>
          <t>Roda quebrada — oficina SPP</t>
        </is>
      </c>
    </row>
    <row r="10" ht="22" customHeight="1">
      <c r="A10" s="46" t="n">
        <v>9</v>
      </c>
      <c r="B10" s="48" t="n">
        <v>46205</v>
      </c>
      <c r="C10" s="30" t="inlineStr">
        <is>
          <t>Manutenção</t>
        </is>
      </c>
      <c r="D10" s="49" t="n">
        <v>15</v>
      </c>
      <c r="E10" s="47" t="inlineStr">
        <is>
          <t>SPP-2020-0003</t>
        </is>
      </c>
      <c r="F10" s="49" t="n">
        <v>1</v>
      </c>
      <c r="G10" s="49" t="n">
        <v>3</v>
      </c>
      <c r="H10" s="49" t="n">
        <v>3</v>
      </c>
      <c r="I10" s="49" t="n"/>
      <c r="J10" s="49" t="n"/>
      <c r="K10" s="49" t="n"/>
      <c r="L10" s="36" t="inlineStr">
        <is>
          <t>—</t>
        </is>
      </c>
      <c r="M10" s="49" t="inlineStr">
        <is>
          <t>Marcos Ferreira</t>
        </is>
      </c>
      <c r="N10" s="49" t="inlineStr">
        <is>
          <t>Roda do carrinho</t>
        </is>
      </c>
    </row>
  </sheetData>
  <dataValidations count="2">
    <dataValidation sqref="C2 C3 C4 C5 C6 C7 C8 C9 C10" showDropDown="0" showInputMessage="0" showErrorMessage="0" allowBlank="0" type="list">
      <formula1>"Empréstimo,Devolução,Transferência,Manutenção,Retorno Manutenção"</formula1>
    </dataValidation>
    <dataValidation sqref="L2 L3 L4 L5 L6 L7 L8 L9 L10" showDropDown="0" showInputMessage="0" showErrorMessage="0" allowBlank="0" type="list">
      <formula1>"Pendente,Devolvido,Em Atraso,—"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L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6" customWidth="1" min="3" max="3"/>
    <col width="10" customWidth="1" min="4" max="4"/>
    <col width="20" customWidth="1" min="5" max="5"/>
    <col width="35" customWidth="1" min="6" max="6"/>
    <col width="16" customWidth="1" min="7" max="7"/>
    <col width="16" customWidth="1" min="8" max="8"/>
    <col width="18" customWidth="1" min="9" max="9"/>
    <col width="18" customWidth="1" min="10" max="10"/>
    <col width="15" customWidth="1" min="11" max="11"/>
    <col width="20" customWidth="1" min="12" max="12"/>
  </cols>
  <sheetData>
    <row r="1" ht="28" customHeight="1">
      <c r="A1" s="50" t="inlineStr">
        <is>
          <t>⚠️  ESTA ABA É CALCULADA AUTOMATICAMENTE — NÃO INSIRA DADOS MANUALMENTE — Atualize sempre que adicionar entradas ou movimentações</t>
        </is>
      </c>
    </row>
    <row r="2" ht="28" customHeight="1">
      <c r="A2" s="15" t="inlineStr">
        <is>
          <t>ID_Material</t>
        </is>
      </c>
      <c r="B2" s="15" t="inlineStr">
        <is>
          <t>Nome_Material</t>
        </is>
      </c>
      <c r="C2" s="15" t="inlineStr">
        <is>
          <t>Categoria</t>
        </is>
      </c>
      <c r="D2" s="15" t="inlineStr">
        <is>
          <t>Unidade</t>
        </is>
      </c>
      <c r="E2" s="15" t="inlineStr">
        <is>
          <t>ID_Sec_Proprietaria</t>
        </is>
      </c>
      <c r="F2" s="15" t="inlineStr">
        <is>
          <t>Nome_Secretaria</t>
        </is>
      </c>
      <c r="G2" s="51" t="inlineStr">
        <is>
          <t>Total_Entradas</t>
        </is>
      </c>
      <c r="H2" s="51" t="inlineStr">
        <is>
          <t>Total_Consumido</t>
        </is>
      </c>
      <c r="I2" s="51" t="inlineStr">
        <is>
          <t>Total_Emprestado</t>
        </is>
      </c>
      <c r="J2" s="51" t="inlineStr">
        <is>
          <t>Estoque_Disponivel</t>
        </is>
      </c>
      <c r="K2" s="51" t="inlineStr">
        <is>
          <t>Estoque_Minimo</t>
        </is>
      </c>
      <c r="L2" s="51" t="inlineStr">
        <is>
          <t>Status_Alerta</t>
        </is>
      </c>
    </row>
    <row r="3" ht="22" customHeight="1">
      <c r="A3" s="16" t="n">
        <v>1</v>
      </c>
      <c r="B3" s="18" t="inlineStr">
        <is>
          <t>Cimento CP-II 50kg</t>
        </is>
      </c>
      <c r="C3" s="18" t="inlineStr">
        <is>
          <t>Construção</t>
        </is>
      </c>
      <c r="D3" s="18" t="inlineStr">
        <is>
          <t>Saco</t>
        </is>
      </c>
      <c r="E3" s="18" t="n">
        <v>2</v>
      </c>
      <c r="F3" s="18" t="inlineStr">
        <is>
          <t>Sec. Municipal de Saúde</t>
        </is>
      </c>
      <c r="G3" s="52">
        <f>SUMPRODUCT((Entradas_Estoque[ID_Material]=1)*(Entradas_Estoque[ID_Sec_Proprietaria]=2)*Entradas_Estoque[Quantidade])</f>
        <v/>
      </c>
      <c r="H3" s="53">
        <f>SUMPRODUCT((Movimentacoes_Consumiveis[ID_Material]=1)*(Movimentacoes_Consumiveis[ID_Sec_Proprietaria]=2)*(Movimentacoes_Consumiveis[Tipo_Movimentacao]="Consumo em Obra")*Movimentacoes_Consumiveis[Quantidade])</f>
        <v/>
      </c>
      <c r="I3" s="54">
        <f>SUMPRODUCT((Movimentacoes_Consumiveis[ID_Material]=1)*(Movimentacoes_Consumiveis[ID_Sec_Proprietaria]=2)*(Movimentacoes_Consumiveis[Tipo_Movimentacao]="Empréstimo")*(Movimentacoes_Consumiveis[Status_Devolucao]&lt;&gt;"Devolvido")*Movimentacoes_Consumiveis[Quantidade])</f>
        <v/>
      </c>
      <c r="J3" s="32">
        <f>G3-H3-I3</f>
        <v/>
      </c>
      <c r="K3" s="20" t="n">
        <v>20</v>
      </c>
      <c r="L3" s="36">
        <f>IF(J3&lt;=0,"🔴 SEM ESTOQUE",IF(J3&lt;K3,"🟡 ABAIXO DO MÍN.","🟢 OK"))</f>
        <v/>
      </c>
    </row>
    <row r="4" ht="22" customHeight="1">
      <c r="A4" s="16" t="n">
        <v>1</v>
      </c>
      <c r="B4" s="17" t="inlineStr">
        <is>
          <t>Cimento CP-II 50kg</t>
        </is>
      </c>
      <c r="C4" s="17" t="inlineStr">
        <is>
          <t>Construção</t>
        </is>
      </c>
      <c r="D4" s="17" t="inlineStr">
        <is>
          <t>Saco</t>
        </is>
      </c>
      <c r="E4" s="17" t="n">
        <v>5</v>
      </c>
      <c r="F4" s="17" t="inlineStr">
        <is>
          <t>Sec. Mun. de Assistência Social</t>
        </is>
      </c>
      <c r="G4" s="52">
        <f>SUMPRODUCT((Entradas_Estoque[ID_Material]=1)*(Entradas_Estoque[ID_Sec_Proprietaria]=5)*Entradas_Estoque[Quantidade])</f>
        <v/>
      </c>
      <c r="H4" s="53">
        <f>SUMPRODUCT((Movimentacoes_Consumiveis[ID_Material]=1)*(Movimentacoes_Consumiveis[ID_Sec_Proprietaria]=5)*(Movimentacoes_Consumiveis[Tipo_Movimentacao]="Consumo em Obra")*Movimentacoes_Consumiveis[Quantidade])</f>
        <v/>
      </c>
      <c r="I4" s="54">
        <f>SUMPRODUCT((Movimentacoes_Consumiveis[ID_Material]=1)*(Movimentacoes_Consumiveis[ID_Sec_Proprietaria]=5)*(Movimentacoes_Consumiveis[Tipo_Movimentacao]="Empréstimo")*(Movimentacoes_Consumiveis[Status_Devolucao]&lt;&gt;"Devolvido")*Movimentacoes_Consumiveis[Quantidade])</f>
        <v/>
      </c>
      <c r="J4" s="22">
        <f>G4-H4-I4</f>
        <v/>
      </c>
      <c r="K4" s="19" t="n">
        <v>20</v>
      </c>
      <c r="L4" s="55">
        <f>IF(J4&lt;=0,"🔴 SEM ESTOQUE",IF(J4&lt;K4,"🟡 ABAIXO DO MÍN.","🟢 OK"))</f>
        <v/>
      </c>
    </row>
    <row r="5" ht="22" customHeight="1">
      <c r="A5" s="16" t="n">
        <v>1</v>
      </c>
      <c r="B5" s="18" t="inlineStr">
        <is>
          <t>Cimento CP-II 50kg</t>
        </is>
      </c>
      <c r="C5" s="18" t="inlineStr">
        <is>
          <t>Construção</t>
        </is>
      </c>
      <c r="D5" s="18" t="inlineStr">
        <is>
          <t>Saco</t>
        </is>
      </c>
      <c r="E5" s="18" t="n">
        <v>4</v>
      </c>
      <c r="F5" s="18" t="inlineStr">
        <is>
          <t>Sec. Municipal de Obras</t>
        </is>
      </c>
      <c r="G5" s="52">
        <f>SUMPRODUCT((Entradas_Estoque[ID_Material]=1)*(Entradas_Estoque[ID_Sec_Proprietaria]=4)*Entradas_Estoque[Quantidade])</f>
        <v/>
      </c>
      <c r="H5" s="53">
        <f>SUMPRODUCT((Movimentacoes_Consumiveis[ID_Material]=1)*(Movimentacoes_Consumiveis[ID_Sec_Proprietaria]=4)*(Movimentacoes_Consumiveis[Tipo_Movimentacao]="Consumo em Obra")*Movimentacoes_Consumiveis[Quantidade])</f>
        <v/>
      </c>
      <c r="I5" s="54">
        <f>SUMPRODUCT((Movimentacoes_Consumiveis[ID_Material]=1)*(Movimentacoes_Consumiveis[ID_Sec_Proprietaria]=4)*(Movimentacoes_Consumiveis[Tipo_Movimentacao]="Empréstimo")*(Movimentacoes_Consumiveis[Status_Devolucao]&lt;&gt;"Devolvido")*Movimentacoes_Consumiveis[Quantidade])</f>
        <v/>
      </c>
      <c r="J5" s="32">
        <f>G5-H5-I5</f>
        <v/>
      </c>
      <c r="K5" s="20" t="n">
        <v>20</v>
      </c>
      <c r="L5" s="36">
        <f>IF(J5&lt;=0,"🔴 SEM ESTOQUE",IF(J5&lt;K5,"🟡 ABAIXO DO MÍN.","🟢 OK"))</f>
        <v/>
      </c>
    </row>
    <row r="6" ht="22" customHeight="1">
      <c r="A6" s="16" t="n">
        <v>2</v>
      </c>
      <c r="B6" s="17" t="inlineStr">
        <is>
          <t>Areia Média (m³)</t>
        </is>
      </c>
      <c r="C6" s="17" t="inlineStr">
        <is>
          <t>Construção</t>
        </is>
      </c>
      <c r="D6" s="17" t="inlineStr">
        <is>
          <t>m³</t>
        </is>
      </c>
      <c r="E6" s="17" t="n">
        <v>2</v>
      </c>
      <c r="F6" s="17" t="inlineStr">
        <is>
          <t>Sec. Municipal de Saúde</t>
        </is>
      </c>
      <c r="G6" s="52">
        <f>SUMPRODUCT((Entradas_Estoque[ID_Material]=2)*(Entradas_Estoque[ID_Sec_Proprietaria]=2)*Entradas_Estoque[Quantidade])</f>
        <v/>
      </c>
      <c r="H6" s="53">
        <f>SUMPRODUCT((Movimentacoes_Consumiveis[ID_Material]=2)*(Movimentacoes_Consumiveis[ID_Sec_Proprietaria]=2)*(Movimentacoes_Consumiveis[Tipo_Movimentacao]="Consumo em Obra")*Movimentacoes_Consumiveis[Quantidade])</f>
        <v/>
      </c>
      <c r="I6" s="54">
        <f>SUMPRODUCT((Movimentacoes_Consumiveis[ID_Material]=2)*(Movimentacoes_Consumiveis[ID_Sec_Proprietaria]=2)*(Movimentacoes_Consumiveis[Tipo_Movimentacao]="Empréstimo")*(Movimentacoes_Consumiveis[Status_Devolucao]&lt;&gt;"Devolvido")*Movimentacoes_Consumiveis[Quantidade])</f>
        <v/>
      </c>
      <c r="J6" s="22">
        <f>G6-H6-I6</f>
        <v/>
      </c>
      <c r="K6" s="19" t="n">
        <v>5</v>
      </c>
      <c r="L6" s="55">
        <f>IF(J6&lt;=0,"🔴 SEM ESTOQUE",IF(J6&lt;K6,"🟡 ABAIXO DO MÍN.","🟢 OK"))</f>
        <v/>
      </c>
    </row>
    <row r="7" ht="22" customHeight="1">
      <c r="A7" s="16" t="n">
        <v>3</v>
      </c>
      <c r="B7" s="18" t="inlineStr">
        <is>
          <t>Brita 1 (m³)</t>
        </is>
      </c>
      <c r="C7" s="18" t="inlineStr">
        <is>
          <t>Construção</t>
        </is>
      </c>
      <c r="D7" s="18" t="inlineStr">
        <is>
          <t>m³</t>
        </is>
      </c>
      <c r="E7" s="18" t="n">
        <v>4</v>
      </c>
      <c r="F7" s="18" t="inlineStr">
        <is>
          <t>Sec. Municipal de Obras</t>
        </is>
      </c>
      <c r="G7" s="52">
        <f>SUMPRODUCT((Entradas_Estoque[ID_Material]=3)*(Entradas_Estoque[ID_Sec_Proprietaria]=4)*Entradas_Estoque[Quantidade])</f>
        <v/>
      </c>
      <c r="H7" s="53">
        <f>SUMPRODUCT((Movimentacoes_Consumiveis[ID_Material]=3)*(Movimentacoes_Consumiveis[ID_Sec_Proprietaria]=4)*(Movimentacoes_Consumiveis[Tipo_Movimentacao]="Consumo em Obra")*Movimentacoes_Consumiveis[Quantidade])</f>
        <v/>
      </c>
      <c r="I7" s="54">
        <f>SUMPRODUCT((Movimentacoes_Consumiveis[ID_Material]=3)*(Movimentacoes_Consumiveis[ID_Sec_Proprietaria]=4)*(Movimentacoes_Consumiveis[Tipo_Movimentacao]="Empréstimo")*(Movimentacoes_Consumiveis[Status_Devolucao]&lt;&gt;"Devolvido")*Movimentacoes_Consumiveis[Quantidade])</f>
        <v/>
      </c>
      <c r="J7" s="32">
        <f>G7-H7-I7</f>
        <v/>
      </c>
      <c r="K7" s="20" t="n">
        <v>5</v>
      </c>
      <c r="L7" s="36">
        <f>IF(J7&lt;=0,"🔴 SEM ESTOQUE",IF(J7&lt;K7,"🟡 ABAIXO DO MÍN.","🟢 OK"))</f>
        <v/>
      </c>
    </row>
    <row r="8" ht="22" customHeight="1">
      <c r="A8" s="16" t="n">
        <v>4</v>
      </c>
      <c r="B8" s="17" t="inlineStr">
        <is>
          <t>Tijolo Cerâmico 6 furos</t>
        </is>
      </c>
      <c r="C8" s="17" t="inlineStr">
        <is>
          <t>Construção</t>
        </is>
      </c>
      <c r="D8" s="17" t="inlineStr">
        <is>
          <t>Un</t>
        </is>
      </c>
      <c r="E8" s="17" t="n">
        <v>5</v>
      </c>
      <c r="F8" s="17" t="inlineStr">
        <is>
          <t>Sec. Mun. de Assistência Social</t>
        </is>
      </c>
      <c r="G8" s="52">
        <f>SUMPRODUCT((Entradas_Estoque[ID_Material]=4)*(Entradas_Estoque[ID_Sec_Proprietaria]=5)*Entradas_Estoque[Quantidade])</f>
        <v/>
      </c>
      <c r="H8" s="53">
        <f>SUMPRODUCT((Movimentacoes_Consumiveis[ID_Material]=4)*(Movimentacoes_Consumiveis[ID_Sec_Proprietaria]=5)*(Movimentacoes_Consumiveis[Tipo_Movimentacao]="Consumo em Obra")*Movimentacoes_Consumiveis[Quantidade])</f>
        <v/>
      </c>
      <c r="I8" s="54">
        <f>SUMPRODUCT((Movimentacoes_Consumiveis[ID_Material]=4)*(Movimentacoes_Consumiveis[ID_Sec_Proprietaria]=5)*(Movimentacoes_Consumiveis[Tipo_Movimentacao]="Empréstimo")*(Movimentacoes_Consumiveis[Status_Devolucao]&lt;&gt;"Devolvido")*Movimentacoes_Consumiveis[Quantidade])</f>
        <v/>
      </c>
      <c r="J8" s="22">
        <f>G8-H8-I8</f>
        <v/>
      </c>
      <c r="K8" s="19" t="n">
        <v>500</v>
      </c>
      <c r="L8" s="55">
        <f>IF(J8&lt;=0,"🔴 SEM ESTOQUE",IF(J8&lt;K8,"🟡 ABAIXO DO MÍN.","🟢 OK"))</f>
        <v/>
      </c>
    </row>
    <row r="9" ht="22" customHeight="1">
      <c r="A9" s="16" t="n">
        <v>5</v>
      </c>
      <c r="B9" s="18" t="inlineStr">
        <is>
          <t>Tinta Látex PVA Branco 18L</t>
        </is>
      </c>
      <c r="C9" s="18" t="inlineStr">
        <is>
          <t>Pintura</t>
        </is>
      </c>
      <c r="D9" s="18" t="inlineStr">
        <is>
          <t>Un</t>
        </is>
      </c>
      <c r="E9" s="18" t="n">
        <v>3</v>
      </c>
      <c r="F9" s="18" t="inlineStr">
        <is>
          <t>Sec. Mun. de Educação</t>
        </is>
      </c>
      <c r="G9" s="52">
        <f>SUMPRODUCT((Entradas_Estoque[ID_Material]=5)*(Entradas_Estoque[ID_Sec_Proprietaria]=3)*Entradas_Estoque[Quantidade])</f>
        <v/>
      </c>
      <c r="H9" s="53">
        <f>SUMPRODUCT((Movimentacoes_Consumiveis[ID_Material]=5)*(Movimentacoes_Consumiveis[ID_Sec_Proprietaria]=3)*(Movimentacoes_Consumiveis[Tipo_Movimentacao]="Consumo em Obra")*Movimentacoes_Consumiveis[Quantidade])</f>
        <v/>
      </c>
      <c r="I9" s="54">
        <f>SUMPRODUCT((Movimentacoes_Consumiveis[ID_Material]=5)*(Movimentacoes_Consumiveis[ID_Sec_Proprietaria]=3)*(Movimentacoes_Consumiveis[Tipo_Movimentacao]="Empréstimo")*(Movimentacoes_Consumiveis[Status_Devolucao]&lt;&gt;"Devolvido")*Movimentacoes_Consumiveis[Quantidade])</f>
        <v/>
      </c>
      <c r="J9" s="32">
        <f>G9-H9-I9</f>
        <v/>
      </c>
      <c r="K9" s="20" t="n">
        <v>10</v>
      </c>
      <c r="L9" s="36">
        <f>IF(J9&lt;=0,"🔴 SEM ESTOQUE",IF(J9&lt;K9,"🟡 ABAIXO DO MÍN.","🟢 OK"))</f>
        <v/>
      </c>
    </row>
    <row r="10" ht="22" customHeight="1">
      <c r="A10" s="16" t="n">
        <v>5</v>
      </c>
      <c r="B10" s="17" t="inlineStr">
        <is>
          <t>Tinta Látex PVA Branco 18L</t>
        </is>
      </c>
      <c r="C10" s="17" t="inlineStr">
        <is>
          <t>Pintura</t>
        </is>
      </c>
      <c r="D10" s="17" t="inlineStr">
        <is>
          <t>Un</t>
        </is>
      </c>
      <c r="E10" s="17" t="n">
        <v>6</v>
      </c>
      <c r="F10" s="17" t="inlineStr">
        <is>
          <t>Sec. Mun. de Esportes</t>
        </is>
      </c>
      <c r="G10" s="52">
        <f>SUMPRODUCT((Entradas_Estoque[ID_Material]=5)*(Entradas_Estoque[ID_Sec_Proprietaria]=6)*Entradas_Estoque[Quantidade])</f>
        <v/>
      </c>
      <c r="H10" s="53">
        <f>SUMPRODUCT((Movimentacoes_Consumiveis[ID_Material]=5)*(Movimentacoes_Consumiveis[ID_Sec_Proprietaria]=6)*(Movimentacoes_Consumiveis[Tipo_Movimentacao]="Consumo em Obra")*Movimentacoes_Consumiveis[Quantidade])</f>
        <v/>
      </c>
      <c r="I10" s="54">
        <f>SUMPRODUCT((Movimentacoes_Consumiveis[ID_Material]=5)*(Movimentacoes_Consumiveis[ID_Sec_Proprietaria]=6)*(Movimentacoes_Consumiveis[Tipo_Movimentacao]="Empréstimo")*(Movimentacoes_Consumiveis[Status_Devolucao]&lt;&gt;"Devolvido")*Movimentacoes_Consumiveis[Quantidade])</f>
        <v/>
      </c>
      <c r="J10" s="22">
        <f>G10-H10-I10</f>
        <v/>
      </c>
      <c r="K10" s="19" t="n">
        <v>10</v>
      </c>
      <c r="L10" s="55">
        <f>IF(J10&lt;=0,"🔴 SEM ESTOQUE",IF(J10&lt;K10,"🟡 ABAIXO DO MÍN.","🟢 OK"))</f>
        <v/>
      </c>
    </row>
    <row r="11" ht="22" customHeight="1">
      <c r="A11" s="16" t="n">
        <v>6</v>
      </c>
      <c r="B11" s="18" t="inlineStr">
        <is>
          <t>Tinta Acrílica Premium 18L</t>
        </is>
      </c>
      <c r="C11" s="18" t="inlineStr">
        <is>
          <t>Pintura</t>
        </is>
      </c>
      <c r="D11" s="18" t="inlineStr">
        <is>
          <t>Un</t>
        </is>
      </c>
      <c r="E11" s="18" t="n">
        <v>6</v>
      </c>
      <c r="F11" s="18" t="inlineStr">
        <is>
          <t>Sec. Mun. de Esportes</t>
        </is>
      </c>
      <c r="G11" s="52">
        <f>SUMPRODUCT((Entradas_Estoque[ID_Material]=6)*(Entradas_Estoque[ID_Sec_Proprietaria]=6)*Entradas_Estoque[Quantidade])</f>
        <v/>
      </c>
      <c r="H11" s="53">
        <f>SUMPRODUCT((Movimentacoes_Consumiveis[ID_Material]=6)*(Movimentacoes_Consumiveis[ID_Sec_Proprietaria]=6)*(Movimentacoes_Consumiveis[Tipo_Movimentacao]="Consumo em Obra")*Movimentacoes_Consumiveis[Quantidade])</f>
        <v/>
      </c>
      <c r="I11" s="54">
        <f>SUMPRODUCT((Movimentacoes_Consumiveis[ID_Material]=6)*(Movimentacoes_Consumiveis[ID_Sec_Proprietaria]=6)*(Movimentacoes_Consumiveis[Tipo_Movimentacao]="Empréstimo")*(Movimentacoes_Consumiveis[Status_Devolucao]&lt;&gt;"Devolvido")*Movimentacoes_Consumiveis[Quantidade])</f>
        <v/>
      </c>
      <c r="J11" s="32">
        <f>G11-H11-I11</f>
        <v/>
      </c>
      <c r="K11" s="20" t="n">
        <v>8</v>
      </c>
      <c r="L11" s="36">
        <f>IF(J11&lt;=0,"🔴 SEM ESTOQUE",IF(J11&lt;K11,"🟡 ABAIXO DO MÍN.","🟢 OK"))</f>
        <v/>
      </c>
    </row>
    <row r="12" ht="22" customHeight="1">
      <c r="A12" s="16" t="n">
        <v>7</v>
      </c>
      <c r="B12" s="17" t="inlineStr">
        <is>
          <t>Selador Acrílico 18L</t>
        </is>
      </c>
      <c r="C12" s="17" t="inlineStr">
        <is>
          <t>Pintura</t>
        </is>
      </c>
      <c r="D12" s="17" t="inlineStr">
        <is>
          <t>Un</t>
        </is>
      </c>
      <c r="E12" s="17" t="n">
        <v>3</v>
      </c>
      <c r="F12" s="17" t="inlineStr">
        <is>
          <t>Sec. Mun. de Educação</t>
        </is>
      </c>
      <c r="G12" s="52">
        <f>SUMPRODUCT((Entradas_Estoque[ID_Material]=7)*(Entradas_Estoque[ID_Sec_Proprietaria]=3)*Entradas_Estoque[Quantidade])</f>
        <v/>
      </c>
      <c r="H12" s="53">
        <f>SUMPRODUCT((Movimentacoes_Consumiveis[ID_Material]=7)*(Movimentacoes_Consumiveis[ID_Sec_Proprietaria]=3)*(Movimentacoes_Consumiveis[Tipo_Movimentacao]="Consumo em Obra")*Movimentacoes_Consumiveis[Quantidade])</f>
        <v/>
      </c>
      <c r="I12" s="54">
        <f>SUMPRODUCT((Movimentacoes_Consumiveis[ID_Material]=7)*(Movimentacoes_Consumiveis[ID_Sec_Proprietaria]=3)*(Movimentacoes_Consumiveis[Tipo_Movimentacao]="Empréstimo")*(Movimentacoes_Consumiveis[Status_Devolucao]&lt;&gt;"Devolvido")*Movimentacoes_Consumiveis[Quantidade])</f>
        <v/>
      </c>
      <c r="J12" s="22">
        <f>G12-H12-I12</f>
        <v/>
      </c>
      <c r="K12" s="19" t="n">
        <v>6</v>
      </c>
      <c r="L12" s="55">
        <f>IF(J12&lt;=0,"🔴 SEM ESTOQUE",IF(J12&lt;K12,"🟡 ABAIXO DO MÍN.","🟢 OK"))</f>
        <v/>
      </c>
    </row>
    <row r="13" ht="22" customHeight="1">
      <c r="A13" s="16" t="n">
        <v>8</v>
      </c>
      <c r="B13" s="18" t="inlineStr">
        <is>
          <t>Massa Corrida PVA 25kg</t>
        </is>
      </c>
      <c r="C13" s="18" t="inlineStr">
        <is>
          <t>Pintura</t>
        </is>
      </c>
      <c r="D13" s="18" t="inlineStr">
        <is>
          <t>Saco</t>
        </is>
      </c>
      <c r="E13" s="18" t="n">
        <v>3</v>
      </c>
      <c r="F13" s="18" t="inlineStr">
        <is>
          <t>Sec. Mun. de Educação</t>
        </is>
      </c>
      <c r="G13" s="52">
        <f>SUMPRODUCT((Entradas_Estoque[ID_Material]=8)*(Entradas_Estoque[ID_Sec_Proprietaria]=3)*Entradas_Estoque[Quantidade])</f>
        <v/>
      </c>
      <c r="H13" s="53">
        <f>SUMPRODUCT((Movimentacoes_Consumiveis[ID_Material]=8)*(Movimentacoes_Consumiveis[ID_Sec_Proprietaria]=3)*(Movimentacoes_Consumiveis[Tipo_Movimentacao]="Consumo em Obra")*Movimentacoes_Consumiveis[Quantidade])</f>
        <v/>
      </c>
      <c r="I13" s="54">
        <f>SUMPRODUCT((Movimentacoes_Consumiveis[ID_Material]=8)*(Movimentacoes_Consumiveis[ID_Sec_Proprietaria]=3)*(Movimentacoes_Consumiveis[Tipo_Movimentacao]="Empréstimo")*(Movimentacoes_Consumiveis[Status_Devolucao]&lt;&gt;"Devolvido")*Movimentacoes_Consumiveis[Quantidade])</f>
        <v/>
      </c>
      <c r="J13" s="32">
        <f>G13-H13-I13</f>
        <v/>
      </c>
      <c r="K13" s="20" t="n">
        <v>10</v>
      </c>
      <c r="L13" s="36">
        <f>IF(J13&lt;=0,"🔴 SEM ESTOQUE",IF(J13&lt;K13,"🟡 ABAIXO DO MÍN.","🟢 OK"))</f>
        <v/>
      </c>
    </row>
    <row r="14" ht="22" customHeight="1">
      <c r="A14" s="16" t="n">
        <v>9</v>
      </c>
      <c r="B14" s="17" t="inlineStr">
        <is>
          <t>Argamassa AC-II 20kg</t>
        </is>
      </c>
      <c r="C14" s="17" t="inlineStr">
        <is>
          <t>Construção</t>
        </is>
      </c>
      <c r="D14" s="17" t="inlineStr">
        <is>
          <t>Saco</t>
        </is>
      </c>
      <c r="E14" s="17" t="n">
        <v>2</v>
      </c>
      <c r="F14" s="17" t="inlineStr">
        <is>
          <t>Sec. Municipal de Saúde</t>
        </is>
      </c>
      <c r="G14" s="52">
        <f>SUMPRODUCT((Entradas_Estoque[ID_Material]=9)*(Entradas_Estoque[ID_Sec_Proprietaria]=2)*Entradas_Estoque[Quantidade])</f>
        <v/>
      </c>
      <c r="H14" s="53">
        <f>SUMPRODUCT((Movimentacoes_Consumiveis[ID_Material]=9)*(Movimentacoes_Consumiveis[ID_Sec_Proprietaria]=2)*(Movimentacoes_Consumiveis[Tipo_Movimentacao]="Consumo em Obra")*Movimentacoes_Consumiveis[Quantidade])</f>
        <v/>
      </c>
      <c r="I14" s="54">
        <f>SUMPRODUCT((Movimentacoes_Consumiveis[ID_Material]=9)*(Movimentacoes_Consumiveis[ID_Sec_Proprietaria]=2)*(Movimentacoes_Consumiveis[Tipo_Movimentacao]="Empréstimo")*(Movimentacoes_Consumiveis[Status_Devolucao]&lt;&gt;"Devolvido")*Movimentacoes_Consumiveis[Quantidade])</f>
        <v/>
      </c>
      <c r="J14" s="22">
        <f>G14-H14-I14</f>
        <v/>
      </c>
      <c r="K14" s="19" t="n">
        <v>30</v>
      </c>
      <c r="L14" s="55">
        <f>IF(J14&lt;=0,"🔴 SEM ESTOQUE",IF(J14&lt;K14,"🟡 ABAIXO DO MÍN.","🟢 OK"))</f>
        <v/>
      </c>
    </row>
    <row r="15" ht="22" customHeight="1">
      <c r="A15" s="16" t="n">
        <v>10</v>
      </c>
      <c r="B15" s="18" t="inlineStr">
        <is>
          <t>Cal Hidratado 20kg</t>
        </is>
      </c>
      <c r="C15" s="18" t="inlineStr">
        <is>
          <t>Construção</t>
        </is>
      </c>
      <c r="D15" s="18" t="inlineStr">
        <is>
          <t>Saco</t>
        </is>
      </c>
      <c r="E15" s="18" t="n">
        <v>3</v>
      </c>
      <c r="F15" s="18" t="inlineStr">
        <is>
          <t>Sec. Mun. de Educação</t>
        </is>
      </c>
      <c r="G15" s="52">
        <f>SUMPRODUCT((Entradas_Estoque[ID_Material]=10)*(Entradas_Estoque[ID_Sec_Proprietaria]=3)*Entradas_Estoque[Quantidade])</f>
        <v/>
      </c>
      <c r="H15" s="53">
        <f>SUMPRODUCT((Movimentacoes_Consumiveis[ID_Material]=10)*(Movimentacoes_Consumiveis[ID_Sec_Proprietaria]=3)*(Movimentacoes_Consumiveis[Tipo_Movimentacao]="Consumo em Obra")*Movimentacoes_Consumiveis[Quantidade])</f>
        <v/>
      </c>
      <c r="I15" s="54">
        <f>SUMPRODUCT((Movimentacoes_Consumiveis[ID_Material]=10)*(Movimentacoes_Consumiveis[ID_Sec_Proprietaria]=3)*(Movimentacoes_Consumiveis[Tipo_Movimentacao]="Empréstimo")*(Movimentacoes_Consumiveis[Status_Devolucao]&lt;&gt;"Devolvido")*Movimentacoes_Consumiveis[Quantidade])</f>
        <v/>
      </c>
      <c r="J15" s="32">
        <f>G15-H15-I15</f>
        <v/>
      </c>
      <c r="K15" s="20" t="n">
        <v>20</v>
      </c>
      <c r="L15" s="36">
        <f>IF(J15&lt;=0,"🔴 SEM ESTOQUE",IF(J15&lt;K15,"🟡 ABAIXO DO MÍN.","🟢 OK"))</f>
        <v/>
      </c>
    </row>
    <row r="16" ht="22" customHeight="1">
      <c r="A16" s="16" t="n">
        <v>11</v>
      </c>
      <c r="B16" s="17" t="inlineStr">
        <is>
          <t>Fio Elétrico 2,5mm (rolo)</t>
        </is>
      </c>
      <c r="C16" s="17" t="inlineStr">
        <is>
          <t>Elétrico</t>
        </is>
      </c>
      <c r="D16" s="17" t="inlineStr">
        <is>
          <t>Rolo</t>
        </is>
      </c>
      <c r="E16" s="17" t="n">
        <v>2</v>
      </c>
      <c r="F16" s="17" t="inlineStr">
        <is>
          <t>Sec. Municipal de Saúde</t>
        </is>
      </c>
      <c r="G16" s="52">
        <f>SUMPRODUCT((Entradas_Estoque[ID_Material]=11)*(Entradas_Estoque[ID_Sec_Proprietaria]=2)*Entradas_Estoque[Quantidade])</f>
        <v/>
      </c>
      <c r="H16" s="53">
        <f>SUMPRODUCT((Movimentacoes_Consumiveis[ID_Material]=11)*(Movimentacoes_Consumiveis[ID_Sec_Proprietaria]=2)*(Movimentacoes_Consumiveis[Tipo_Movimentacao]="Consumo em Obra")*Movimentacoes_Consumiveis[Quantidade])</f>
        <v/>
      </c>
      <c r="I16" s="54">
        <f>SUMPRODUCT((Movimentacoes_Consumiveis[ID_Material]=11)*(Movimentacoes_Consumiveis[ID_Sec_Proprietaria]=2)*(Movimentacoes_Consumiveis[Tipo_Movimentacao]="Empréstimo")*(Movimentacoes_Consumiveis[Status_Devolucao]&lt;&gt;"Devolvido")*Movimentacoes_Consumiveis[Quantidade])</f>
        <v/>
      </c>
      <c r="J16" s="22">
        <f>G16-H16-I16</f>
        <v/>
      </c>
      <c r="K16" s="19" t="n">
        <v>5</v>
      </c>
      <c r="L16" s="55">
        <f>IF(J16&lt;=0,"🔴 SEM ESTOQUE",IF(J16&lt;K16,"🟡 ABAIXO DO MÍN.","🟢 OK"))</f>
        <v/>
      </c>
    </row>
    <row r="17" ht="22" customHeight="1">
      <c r="A17" s="16" t="n">
        <v>12</v>
      </c>
      <c r="B17" s="18" t="inlineStr">
        <is>
          <t>Disjuntor 20A</t>
        </is>
      </c>
      <c r="C17" s="18" t="inlineStr">
        <is>
          <t>Elétrico</t>
        </is>
      </c>
      <c r="D17" s="18" t="inlineStr">
        <is>
          <t>Un</t>
        </is>
      </c>
      <c r="E17" s="18" t="n">
        <v>2</v>
      </c>
      <c r="F17" s="18" t="inlineStr">
        <is>
          <t>Sec. Municipal de Saúde</t>
        </is>
      </c>
      <c r="G17" s="52">
        <f>SUMPRODUCT((Entradas_Estoque[ID_Material]=12)*(Entradas_Estoque[ID_Sec_Proprietaria]=2)*Entradas_Estoque[Quantidade])</f>
        <v/>
      </c>
      <c r="H17" s="53">
        <f>SUMPRODUCT((Movimentacoes_Consumiveis[ID_Material]=12)*(Movimentacoes_Consumiveis[ID_Sec_Proprietaria]=2)*(Movimentacoes_Consumiveis[Tipo_Movimentacao]="Consumo em Obra")*Movimentacoes_Consumiveis[Quantidade])</f>
        <v/>
      </c>
      <c r="I17" s="54">
        <f>SUMPRODUCT((Movimentacoes_Consumiveis[ID_Material]=12)*(Movimentacoes_Consumiveis[ID_Sec_Proprietaria]=2)*(Movimentacoes_Consumiveis[Tipo_Movimentacao]="Empréstimo")*(Movimentacoes_Consumiveis[Status_Devolucao]&lt;&gt;"Devolvido")*Movimentacoes_Consumiveis[Quantidade])</f>
        <v/>
      </c>
      <c r="J17" s="32">
        <f>G17-H17-I17</f>
        <v/>
      </c>
      <c r="K17" s="20" t="n">
        <v>10</v>
      </c>
      <c r="L17" s="36">
        <f>IF(J17&lt;=0,"🔴 SEM ESTOQUE",IF(J17&lt;K17,"🟡 ABAIXO DO MÍN.","🟢 OK"))</f>
        <v/>
      </c>
    </row>
    <row r="18" ht="22" customHeight="1">
      <c r="A18" s="16" t="n">
        <v>13</v>
      </c>
      <c r="B18" s="17" t="inlineStr">
        <is>
          <t>Cano PVC 100mm (6m)</t>
        </is>
      </c>
      <c r="C18" s="17" t="inlineStr">
        <is>
          <t>Hidráulico</t>
        </is>
      </c>
      <c r="D18" s="17" t="inlineStr">
        <is>
          <t>Un</t>
        </is>
      </c>
      <c r="E18" s="17" t="n">
        <v>5</v>
      </c>
      <c r="F18" s="17" t="inlineStr">
        <is>
          <t>Sec. Mun. de Assistência Social</t>
        </is>
      </c>
      <c r="G18" s="52">
        <f>SUMPRODUCT((Entradas_Estoque[ID_Material]=13)*(Entradas_Estoque[ID_Sec_Proprietaria]=5)*Entradas_Estoque[Quantidade])</f>
        <v/>
      </c>
      <c r="H18" s="53">
        <f>SUMPRODUCT((Movimentacoes_Consumiveis[ID_Material]=13)*(Movimentacoes_Consumiveis[ID_Sec_Proprietaria]=5)*(Movimentacoes_Consumiveis[Tipo_Movimentacao]="Consumo em Obra")*Movimentacoes_Consumiveis[Quantidade])</f>
        <v/>
      </c>
      <c r="I18" s="54">
        <f>SUMPRODUCT((Movimentacoes_Consumiveis[ID_Material]=13)*(Movimentacoes_Consumiveis[ID_Sec_Proprietaria]=5)*(Movimentacoes_Consumiveis[Tipo_Movimentacao]="Empréstimo")*(Movimentacoes_Consumiveis[Status_Devolucao]&lt;&gt;"Devolvido")*Movimentacoes_Consumiveis[Quantidade])</f>
        <v/>
      </c>
      <c r="J18" s="22">
        <f>G18-H18-I18</f>
        <v/>
      </c>
      <c r="K18" s="19" t="n">
        <v>15</v>
      </c>
      <c r="L18" s="55">
        <f>IF(J18&lt;=0,"🔴 SEM ESTOQUE",IF(J18&lt;K18,"🟡 ABAIXO DO MÍN.","🟢 OK"))</f>
        <v/>
      </c>
    </row>
  </sheetData>
  <mergeCells count="1">
    <mergeCell ref="A1:L1"/>
  </mergeCells>
  <conditionalFormatting sqref="L3:L18">
    <cfRule type="expression" priority="1" dxfId="0">
      <formula>LEFT(L3,2)="🔴"</formula>
    </cfRule>
    <cfRule type="expression" priority="2" dxfId="1">
      <formula>LEFT(L3,2)="🟡"</formula>
    </cfRule>
    <cfRule type="expression" priority="3" dxfId="2">
      <formula>LEFT(L3,2)="🟢"</formula>
    </cfRule>
  </conditionalFormatting>
  <conditionalFormatting sqref="J3:J18">
    <cfRule type="expression" priority="4" dxfId="0">
      <formula>J3&lt;=0</formula>
    </cfRule>
    <cfRule type="expression" priority="5" dxfId="1">
      <formula>AND(J3&gt;0,J3&lt;K3)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2026-07-17T03:43:15Z</dcterms:created>
  <dcterms:modified xsi:type="dcterms:W3CDTF">2026-07-17T03:43:16Z</dcterms:modified>
</cp:coreProperties>
</file>